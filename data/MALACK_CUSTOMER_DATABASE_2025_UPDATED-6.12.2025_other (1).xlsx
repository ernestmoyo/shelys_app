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rnes\Downloads\"/>
    </mc:Choice>
  </mc:AlternateContent>
  <xr:revisionPtr revIDLastSave="0" documentId="13_ncr:1_{F0C6482C-1DD8-4A03-844E-E13D84DFAD7E}" xr6:coauthVersionLast="47" xr6:coauthVersionMax="47" xr10:uidLastSave="{00000000-0000-0000-0000-000000000000}"/>
  <bookViews>
    <workbookView xWindow="-108" yWindow="-108" windowWidth="23256" windowHeight="14256" xr2:uid="{00000000-000D-0000-FFFF-FFFF00000000}"/>
  </bookViews>
  <sheets>
    <sheet name="Dashboard" sheetId="3" r:id="rId1"/>
    <sheet name="All" sheetId="4" r:id="rId2"/>
    <sheet name="TR" sheetId="6" r:id="rId3"/>
    <sheet name="Sheet4" sheetId="7" r:id="rId4"/>
    <sheet name="Customer Database" sheetId="1" r:id="rId5"/>
    <sheet name="Summary" sheetId="2" r:id="rId6"/>
  </sheets>
  <definedNames>
    <definedName name="_xlnm._FilterDatabase" localSheetId="4" hidden="1">'Customer Database'!$A$1:$H$428</definedName>
    <definedName name="Slicer_CATEGORY">#N/A</definedName>
    <definedName name="Slicer_LOCATION">#N/A</definedName>
    <definedName name="Slicer_Product">#N/A</definedName>
    <definedName name="Slicer_TERRITORY">#N/A</definedName>
  </definedNames>
  <calcPr calcId="191029"/>
  <pivotCaches>
    <pivotCache cacheId="27"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6" l="1"/>
  <c r="P2" i="3" l="1"/>
</calcChain>
</file>

<file path=xl/sharedStrings.xml><?xml version="1.0" encoding="utf-8"?>
<sst xmlns="http://schemas.openxmlformats.org/spreadsheetml/2006/main" count="2602" uniqueCount="884">
  <si>
    <t>NS</t>
  </si>
  <si>
    <t>CLIENT NAME</t>
  </si>
  <si>
    <t>LOCATION</t>
  </si>
  <si>
    <t>CONTACT</t>
  </si>
  <si>
    <t>CATEGORY</t>
  </si>
  <si>
    <t>TERRITORY</t>
  </si>
  <si>
    <t xml:space="preserve">Clinical Ph </t>
  </si>
  <si>
    <t>Mazizini</t>
  </si>
  <si>
    <t>0689 016 951</t>
  </si>
  <si>
    <t>Ph</t>
  </si>
  <si>
    <t>DSM</t>
  </si>
  <si>
    <t>Chibo DLDM</t>
  </si>
  <si>
    <t>0787 115 965</t>
  </si>
  <si>
    <t>DLDM</t>
  </si>
  <si>
    <t>Dremlife Ph</t>
  </si>
  <si>
    <t>0675 581 841</t>
  </si>
  <si>
    <t xml:space="preserve">Tili Medics </t>
  </si>
  <si>
    <t>Moshi Baa</t>
  </si>
  <si>
    <t>0767 022 854</t>
  </si>
  <si>
    <t>Gaza Ph</t>
  </si>
  <si>
    <t>0757 788 923</t>
  </si>
  <si>
    <t>Silai Shop</t>
  </si>
  <si>
    <t>0625 187 271</t>
  </si>
  <si>
    <t>Shop</t>
  </si>
  <si>
    <t xml:space="preserve">Mkolemba </t>
  </si>
  <si>
    <t>0625 286 007</t>
  </si>
  <si>
    <t>Other</t>
  </si>
  <si>
    <t>Big Shop</t>
  </si>
  <si>
    <t>0683 234 904</t>
  </si>
  <si>
    <t>Pac Ph</t>
  </si>
  <si>
    <t>0715 490 488</t>
  </si>
  <si>
    <t xml:space="preserve">Msofe Shop </t>
  </si>
  <si>
    <t>0678 192 726</t>
  </si>
  <si>
    <t xml:space="preserve">Edward Shop </t>
  </si>
  <si>
    <t>0756 560 499</t>
  </si>
  <si>
    <t>Damas Shop</t>
  </si>
  <si>
    <t>0715 265 728</t>
  </si>
  <si>
    <t>Ushaki Shop</t>
  </si>
  <si>
    <t>0745 335 652</t>
  </si>
  <si>
    <t>Relini Shop</t>
  </si>
  <si>
    <t>0659 613 607</t>
  </si>
  <si>
    <t>Wida Ph</t>
  </si>
  <si>
    <t>0623 333 322</t>
  </si>
  <si>
    <t xml:space="preserve">Relini Ph </t>
  </si>
  <si>
    <t>0719 391 681</t>
  </si>
  <si>
    <t xml:space="preserve">Hilyan Ph </t>
  </si>
  <si>
    <t>Ilala</t>
  </si>
  <si>
    <t>0788 456 137</t>
  </si>
  <si>
    <t xml:space="preserve">Shaboca Ph </t>
  </si>
  <si>
    <t>0678 921 193</t>
  </si>
  <si>
    <t xml:space="preserve">Ilala Boma Ph </t>
  </si>
  <si>
    <t>0713 488 400</t>
  </si>
  <si>
    <t>Kimaro Shop</t>
  </si>
  <si>
    <t>0753 650 454</t>
  </si>
  <si>
    <t xml:space="preserve">Hellen And Sons </t>
  </si>
  <si>
    <t>0788 300 850</t>
  </si>
  <si>
    <t xml:space="preserve">Surash Ph </t>
  </si>
  <si>
    <t>0782 566 574</t>
  </si>
  <si>
    <t xml:space="preserve">Hamsa Ph </t>
  </si>
  <si>
    <t>0687 525 187</t>
  </si>
  <si>
    <t>Mangi Shop</t>
  </si>
  <si>
    <t>0714 726 807</t>
  </si>
  <si>
    <t xml:space="preserve">Mwanacoco Ph </t>
  </si>
  <si>
    <t>0754 024 725</t>
  </si>
  <si>
    <t xml:space="preserve">Mac Ph </t>
  </si>
  <si>
    <t>Yombo kwa Ali Mboa</t>
  </si>
  <si>
    <t>0621 179 925</t>
  </si>
  <si>
    <t>Amour DLDM</t>
  </si>
  <si>
    <t xml:space="preserve">Yombo Kwa Ali Mboa </t>
  </si>
  <si>
    <t>0620 117 430</t>
  </si>
  <si>
    <t xml:space="preserve">Ummy DLDM </t>
  </si>
  <si>
    <t xml:space="preserve">Kibaha kwa Mathias </t>
  </si>
  <si>
    <t>0747 571 445</t>
  </si>
  <si>
    <t>Haki Ph</t>
  </si>
  <si>
    <t xml:space="preserve">0748 375 891 </t>
  </si>
  <si>
    <t xml:space="preserve">Carissa DLDM </t>
  </si>
  <si>
    <t>Kibaha kwa Mathias</t>
  </si>
  <si>
    <t>0752 981 308</t>
  </si>
  <si>
    <t>Ramla Ph</t>
  </si>
  <si>
    <t>Tabata</t>
  </si>
  <si>
    <t>0679 500 716</t>
  </si>
  <si>
    <t>JM Ph</t>
  </si>
  <si>
    <t>0764 277 775</t>
  </si>
  <si>
    <t>Dot Ph</t>
  </si>
  <si>
    <t>0692 074 808</t>
  </si>
  <si>
    <t xml:space="preserve">Yopresinta Ph </t>
  </si>
  <si>
    <t>0745 256 006</t>
  </si>
  <si>
    <t xml:space="preserve">Aiken Ph </t>
  </si>
  <si>
    <t>Kawe</t>
  </si>
  <si>
    <t>0766 712 716</t>
  </si>
  <si>
    <t xml:space="preserve">Corner care Ph </t>
  </si>
  <si>
    <t>0752 029 187</t>
  </si>
  <si>
    <t xml:space="preserve">Duka jipya Shop </t>
  </si>
  <si>
    <t>+255 787 328 232</t>
  </si>
  <si>
    <t xml:space="preserve">Heilen Ph </t>
  </si>
  <si>
    <t>0713 463 828</t>
  </si>
  <si>
    <t xml:space="preserve">Kawe Ph </t>
  </si>
  <si>
    <t>0658 046 505</t>
  </si>
  <si>
    <t xml:space="preserve">Nebi Ph </t>
  </si>
  <si>
    <t>0743 118 547</t>
  </si>
  <si>
    <t>Manka Shop</t>
  </si>
  <si>
    <t>0674 687 877</t>
  </si>
  <si>
    <t xml:space="preserve">Mbwana Ph </t>
  </si>
  <si>
    <t>0756 318 512</t>
  </si>
  <si>
    <t xml:space="preserve">Ukwamani Ph </t>
  </si>
  <si>
    <t>0676 782 267</t>
  </si>
  <si>
    <t xml:space="preserve">Wema Ph </t>
  </si>
  <si>
    <t>+255 620 225 811</t>
  </si>
  <si>
    <t xml:space="preserve">Mdee Shop </t>
  </si>
  <si>
    <t>Kibaha</t>
  </si>
  <si>
    <t>0784 381 922</t>
  </si>
  <si>
    <t>Mwembeni Shop</t>
  </si>
  <si>
    <t>0762 820 113</t>
  </si>
  <si>
    <t xml:space="preserve">Tunajali Disp </t>
  </si>
  <si>
    <t>0621 247 015</t>
  </si>
  <si>
    <t>Emayan Ph</t>
  </si>
  <si>
    <t>0745 896 047</t>
  </si>
  <si>
    <t xml:space="preserve">Bule Ph </t>
  </si>
  <si>
    <t>0753 251 897</t>
  </si>
  <si>
    <t xml:space="preserve">Noella Ph </t>
  </si>
  <si>
    <t>0757 016 040</t>
  </si>
  <si>
    <t>Amani Ph</t>
  </si>
  <si>
    <t>0782 119 274</t>
  </si>
  <si>
    <t>Yuster DLDM</t>
  </si>
  <si>
    <t>0678 044 149</t>
  </si>
  <si>
    <t>Eliza Shop</t>
  </si>
  <si>
    <t>0684 988 888</t>
  </si>
  <si>
    <t>Joel Shop</t>
  </si>
  <si>
    <t>0765 112 036</t>
  </si>
  <si>
    <t xml:space="preserve">Mama Adrian Shop </t>
  </si>
  <si>
    <t>0718 207 869</t>
  </si>
  <si>
    <t>Mpemba Shop</t>
  </si>
  <si>
    <t>0716 067 028</t>
  </si>
  <si>
    <t>Mlezi DLDM</t>
  </si>
  <si>
    <t>Majohe</t>
  </si>
  <si>
    <t>0657 562 841</t>
  </si>
  <si>
    <t xml:space="preserve">Nanginyii Medics </t>
  </si>
  <si>
    <t xml:space="preserve">Majohe </t>
  </si>
  <si>
    <t>0621 131 337</t>
  </si>
  <si>
    <t xml:space="preserve">Lisa Medics </t>
  </si>
  <si>
    <t>0746 232 436</t>
  </si>
  <si>
    <t>Whit Shop</t>
  </si>
  <si>
    <t>0689 211 281</t>
  </si>
  <si>
    <t>Albert Shop</t>
  </si>
  <si>
    <t>0753 426 847</t>
  </si>
  <si>
    <t xml:space="preserve">Jmo Medics </t>
  </si>
  <si>
    <t>0769 852 104</t>
  </si>
  <si>
    <t>Jose Shop</t>
  </si>
  <si>
    <t>0758 268 989</t>
  </si>
  <si>
    <t xml:space="preserve">Upendo DLDM </t>
  </si>
  <si>
    <t>0652 764 252</t>
  </si>
  <si>
    <t xml:space="preserve">Makoba Store </t>
  </si>
  <si>
    <t>0766 224 444</t>
  </si>
  <si>
    <t>Matinde DLDM</t>
  </si>
  <si>
    <t>0656 155 288</t>
  </si>
  <si>
    <t>Michael Shop</t>
  </si>
  <si>
    <t>0716 136 474</t>
  </si>
  <si>
    <t>0710 071 372</t>
  </si>
  <si>
    <t xml:space="preserve">Bariki Ph </t>
  </si>
  <si>
    <t>Kigamboni</t>
  </si>
  <si>
    <t>0693 985 330</t>
  </si>
  <si>
    <t>Mama wawili Shop</t>
  </si>
  <si>
    <t>Kimbiji</t>
  </si>
  <si>
    <t>0652 545 854</t>
  </si>
  <si>
    <t xml:space="preserve">Amani DLDM </t>
  </si>
  <si>
    <t>0765 503 796</t>
  </si>
  <si>
    <t>Mango Shop</t>
  </si>
  <si>
    <t>0689 199 096</t>
  </si>
  <si>
    <t>Bongo Shop</t>
  </si>
  <si>
    <t>0715 265 647</t>
  </si>
  <si>
    <t>Njaa Kali Shop</t>
  </si>
  <si>
    <t>0789 434 380</t>
  </si>
  <si>
    <t xml:space="preserve">Isa Shop </t>
  </si>
  <si>
    <t>0652 953 880</t>
  </si>
  <si>
    <t xml:space="preserve">Hopek Ph </t>
  </si>
  <si>
    <t>0612 299 529</t>
  </si>
  <si>
    <t xml:space="preserve">Sali DLDM </t>
  </si>
  <si>
    <t>Yombo</t>
  </si>
  <si>
    <t>0682 659 994</t>
  </si>
  <si>
    <t xml:space="preserve">JDM Ph </t>
  </si>
  <si>
    <t>0658 144 667</t>
  </si>
  <si>
    <t xml:space="preserve">Abba Medics </t>
  </si>
  <si>
    <t>0744 482 464</t>
  </si>
  <si>
    <t xml:space="preserve">Relini DLDM </t>
  </si>
  <si>
    <t>0685 294 698</t>
  </si>
  <si>
    <t xml:space="preserve">Arafa DLDM </t>
  </si>
  <si>
    <t>0785 344 660</t>
  </si>
  <si>
    <t>Mduma Shop</t>
  </si>
  <si>
    <t>0788 680 010</t>
  </si>
  <si>
    <t xml:space="preserve">Yombo DLDM </t>
  </si>
  <si>
    <t>0687 838 387</t>
  </si>
  <si>
    <t>Litonya Ph</t>
  </si>
  <si>
    <t>0757 075 961</t>
  </si>
  <si>
    <t>Ndesa Shop</t>
  </si>
  <si>
    <t>0716 081 012</t>
  </si>
  <si>
    <t xml:space="preserve">Tanzanite Medics </t>
  </si>
  <si>
    <t>0699 361 837</t>
  </si>
  <si>
    <t>Lizzy Ph</t>
  </si>
  <si>
    <t>0767 513 347</t>
  </si>
  <si>
    <t>Afri King DLDM</t>
  </si>
  <si>
    <t>0712 272 037</t>
  </si>
  <si>
    <t xml:space="preserve">Chama DLDM </t>
  </si>
  <si>
    <t>0686 257 008</t>
  </si>
  <si>
    <t>Aziza Shop</t>
  </si>
  <si>
    <t>0718 295 882</t>
  </si>
  <si>
    <t>Fred Shop</t>
  </si>
  <si>
    <t>0652 147 540</t>
  </si>
  <si>
    <t xml:space="preserve">Mwemba DLDM </t>
  </si>
  <si>
    <t xml:space="preserve">0623 353 479 </t>
  </si>
  <si>
    <t>Prosper Shop</t>
  </si>
  <si>
    <t>0674 349 848</t>
  </si>
  <si>
    <t xml:space="preserve">Brk Ph </t>
  </si>
  <si>
    <t>0717 437 719</t>
  </si>
  <si>
    <t xml:space="preserve">Mape DLDM </t>
  </si>
  <si>
    <t>0719 841 045</t>
  </si>
  <si>
    <t xml:space="preserve">Neema DLDM </t>
  </si>
  <si>
    <t>0656 230 144</t>
  </si>
  <si>
    <t xml:space="preserve">Joyholdg Ph </t>
  </si>
  <si>
    <t>0718 388 515</t>
  </si>
  <si>
    <t xml:space="preserve">Imu Ph </t>
  </si>
  <si>
    <t>0754 493 129</t>
  </si>
  <si>
    <t xml:space="preserve">Mak J Ph </t>
  </si>
  <si>
    <t>0786 205 019</t>
  </si>
  <si>
    <t xml:space="preserve">Mak J Poly clinic </t>
  </si>
  <si>
    <t>0653 900 300</t>
  </si>
  <si>
    <t xml:space="preserve">Qualitas Ph </t>
  </si>
  <si>
    <t>0673 828 028</t>
  </si>
  <si>
    <t>Rahmad Shop</t>
  </si>
  <si>
    <t>0716 405 508</t>
  </si>
  <si>
    <t xml:space="preserve">Green Apple Ph </t>
  </si>
  <si>
    <t>0682 985 442</t>
  </si>
  <si>
    <t xml:space="preserve">Ngollo Ph </t>
  </si>
  <si>
    <t>0710 577 611</t>
  </si>
  <si>
    <t xml:space="preserve">Qualitas  P.C </t>
  </si>
  <si>
    <t xml:space="preserve">Mangi shop </t>
  </si>
  <si>
    <t>0656 729 767</t>
  </si>
  <si>
    <t xml:space="preserve">Mtumishi Shop </t>
  </si>
  <si>
    <t>0692 145 510</t>
  </si>
  <si>
    <t xml:space="preserve">Sharif Shop </t>
  </si>
  <si>
    <t>0676 390 390</t>
  </si>
  <si>
    <t xml:space="preserve">Karen Shop </t>
  </si>
  <si>
    <t>0757 722 844</t>
  </si>
  <si>
    <t xml:space="preserve">Mwamwezi DLDM </t>
  </si>
  <si>
    <t>0682 143 430</t>
  </si>
  <si>
    <t xml:space="preserve">ABC Ph </t>
  </si>
  <si>
    <t>0784 172 122</t>
  </si>
  <si>
    <t xml:space="preserve">Beka DLDM </t>
  </si>
  <si>
    <t>0678 112 628</t>
  </si>
  <si>
    <t xml:space="preserve">Purecare Ph </t>
  </si>
  <si>
    <t xml:space="preserve">Mbezi Beach </t>
  </si>
  <si>
    <t>0787 304 546</t>
  </si>
  <si>
    <t xml:space="preserve">Safe Hand Ph </t>
  </si>
  <si>
    <t>0767 199 427</t>
  </si>
  <si>
    <t>Luta Shop</t>
  </si>
  <si>
    <t>0764 839 144</t>
  </si>
  <si>
    <t>Kichonge DLDM</t>
  </si>
  <si>
    <t>0716 755 545</t>
  </si>
  <si>
    <t xml:space="preserve">Calvary Ph </t>
  </si>
  <si>
    <t>0715 593 183</t>
  </si>
  <si>
    <t xml:space="preserve">Triple N Ph </t>
  </si>
  <si>
    <t>0621 420 023</t>
  </si>
  <si>
    <t xml:space="preserve">Medicus Ph </t>
  </si>
  <si>
    <t>0629 889 824</t>
  </si>
  <si>
    <t xml:space="preserve">NB Ph </t>
  </si>
  <si>
    <t>0689 838 613</t>
  </si>
  <si>
    <t xml:space="preserve">All Night Ph </t>
  </si>
  <si>
    <t>0717 232 121</t>
  </si>
  <si>
    <t xml:space="preserve">Kemil Ph </t>
  </si>
  <si>
    <t>0656 776 801</t>
  </si>
  <si>
    <t xml:space="preserve">Ovinn Ph </t>
  </si>
  <si>
    <t>0718 860 300</t>
  </si>
  <si>
    <t xml:space="preserve">Sharleen's Ph </t>
  </si>
  <si>
    <t>0765 577 406</t>
  </si>
  <si>
    <t xml:space="preserve">Icare Ph </t>
  </si>
  <si>
    <t>0657 741 518</t>
  </si>
  <si>
    <t xml:space="preserve">Plus Yes Ph </t>
  </si>
  <si>
    <t>022 261 7931</t>
  </si>
  <si>
    <t xml:space="preserve">Pharm Imara Ph </t>
  </si>
  <si>
    <t>0762 333 444</t>
  </si>
  <si>
    <t xml:space="preserve">MB Ph </t>
  </si>
  <si>
    <t>0657 999 716</t>
  </si>
  <si>
    <t xml:space="preserve">Warioba Ph </t>
  </si>
  <si>
    <t>0758 343 976</t>
  </si>
  <si>
    <t xml:space="preserve">Buza </t>
  </si>
  <si>
    <t xml:space="preserve">0674 349 848 </t>
  </si>
  <si>
    <t xml:space="preserve">Kibonge Ph </t>
  </si>
  <si>
    <t>0675 204 375</t>
  </si>
  <si>
    <t xml:space="preserve">Joan Ph </t>
  </si>
  <si>
    <t>0748 453 186</t>
  </si>
  <si>
    <t>Mash Shop</t>
  </si>
  <si>
    <t>0752 586 341</t>
  </si>
  <si>
    <t xml:space="preserve">BRK Ph </t>
  </si>
  <si>
    <t>0655 881 028</t>
  </si>
  <si>
    <t xml:space="preserve">Er Medics </t>
  </si>
  <si>
    <t xml:space="preserve">Wiadsa DLDM </t>
  </si>
  <si>
    <t>0626 609 407</t>
  </si>
  <si>
    <t xml:space="preserve">Afri King Ph </t>
  </si>
  <si>
    <t>0714 392 638</t>
  </si>
  <si>
    <t xml:space="preserve">Khadija Ph </t>
  </si>
  <si>
    <t>0712 321 670</t>
  </si>
  <si>
    <t>Seif Shop</t>
  </si>
  <si>
    <t xml:space="preserve">0614 120 102 </t>
  </si>
  <si>
    <t xml:space="preserve">A and M DLDM </t>
  </si>
  <si>
    <t xml:space="preserve">0685 196 363 </t>
  </si>
  <si>
    <t xml:space="preserve">Gina Ph </t>
  </si>
  <si>
    <t xml:space="preserve">0743 898 931 </t>
  </si>
  <si>
    <t xml:space="preserve">Target DLDM </t>
  </si>
  <si>
    <t>0788 895 765</t>
  </si>
  <si>
    <t>SJK DLDM</t>
  </si>
  <si>
    <t xml:space="preserve">0716 234 501 </t>
  </si>
  <si>
    <t xml:space="preserve">Kate Ph </t>
  </si>
  <si>
    <t>0697 376 183</t>
  </si>
  <si>
    <t>Neema Shop</t>
  </si>
  <si>
    <t>0696 087 721</t>
  </si>
  <si>
    <t>Kundy Polyclinic</t>
  </si>
  <si>
    <t>0713 247 688</t>
  </si>
  <si>
    <t>Doris DLDM</t>
  </si>
  <si>
    <t>Mongo la Ndege</t>
  </si>
  <si>
    <t>0766 402 168</t>
  </si>
  <si>
    <t>Decent Disp</t>
  </si>
  <si>
    <t>0763 031 340</t>
  </si>
  <si>
    <t xml:space="preserve">God's Plan Ph </t>
  </si>
  <si>
    <t>Mtoni</t>
  </si>
  <si>
    <t>0656 267 818</t>
  </si>
  <si>
    <t>Mtuc Ph</t>
  </si>
  <si>
    <t>0689 849 014</t>
  </si>
  <si>
    <t xml:space="preserve">Roselyn Medics </t>
  </si>
  <si>
    <t>0654 663 788</t>
  </si>
  <si>
    <t>Fidelis Ph</t>
  </si>
  <si>
    <t>0756 526 316</t>
  </si>
  <si>
    <t>Muha Shop</t>
  </si>
  <si>
    <t>0762 157 565</t>
  </si>
  <si>
    <t>Sokoro Shop</t>
  </si>
  <si>
    <t>0678 808 849</t>
  </si>
  <si>
    <t xml:space="preserve">Faraja DLDM </t>
  </si>
  <si>
    <t>0689 644 553</t>
  </si>
  <si>
    <t>Fantastic Shop</t>
  </si>
  <si>
    <t>0784 754 480</t>
  </si>
  <si>
    <t>Wastara Shop</t>
  </si>
  <si>
    <t>0772 959 260</t>
  </si>
  <si>
    <t>Bruno Shop</t>
  </si>
  <si>
    <t>0624 804 766</t>
  </si>
  <si>
    <t>NGAMIANI   PHARMACY</t>
  </si>
  <si>
    <t>TANGA TOWN</t>
  </si>
  <si>
    <t>0716 069 410</t>
  </si>
  <si>
    <t>Tanga</t>
  </si>
  <si>
    <t>MALAIKA   PHARMACY</t>
  </si>
  <si>
    <t>0713 046 037</t>
  </si>
  <si>
    <t>JERRY   PHARMACY</t>
  </si>
  <si>
    <t>0714 545 642</t>
  </si>
  <si>
    <t>PELA PHARMACY</t>
  </si>
  <si>
    <t>0672 059 633</t>
  </si>
  <si>
    <t>MWAFAKA   PHARMACY</t>
  </si>
  <si>
    <t>0719 826 299</t>
  </si>
  <si>
    <t>ASAF   PHARMACY</t>
  </si>
  <si>
    <t>0712 522 847</t>
  </si>
  <si>
    <t>BOABAB   PHARMACY</t>
  </si>
  <si>
    <t>0673 937 983</t>
  </si>
  <si>
    <t>SHAFIKA   PHARMACY</t>
  </si>
  <si>
    <t>0719 348 848</t>
  </si>
  <si>
    <t>SK   PHARMACY</t>
  </si>
  <si>
    <t>0653 341 968</t>
  </si>
  <si>
    <t>FK   PHARMACY</t>
  </si>
  <si>
    <t>0655 454 457</t>
  </si>
  <si>
    <t>SS PHARMACY</t>
  </si>
  <si>
    <t>0713 515 181</t>
  </si>
  <si>
    <t>TOP PHARMACY</t>
  </si>
  <si>
    <t>0625 614 630</t>
  </si>
  <si>
    <t>MHELO DLDM</t>
  </si>
  <si>
    <t>0713 474 254</t>
  </si>
  <si>
    <t>TAIFA MEDICO</t>
  </si>
  <si>
    <t>0755 888 559</t>
  </si>
  <si>
    <t>CHARITY DLDM</t>
  </si>
  <si>
    <t>0718 486 818</t>
  </si>
  <si>
    <t>STAR DLDM</t>
  </si>
  <si>
    <t>0712 100 153</t>
  </si>
  <si>
    <t>BAHATI PHARMACY</t>
  </si>
  <si>
    <t>0713 557 600</t>
  </si>
  <si>
    <t>SAFARI DLDM</t>
  </si>
  <si>
    <t>0719 698 760</t>
  </si>
  <si>
    <t>VEDA PHARMACY</t>
  </si>
  <si>
    <t>0654 810 034</t>
  </si>
  <si>
    <t>SAUDA ONE DLDM</t>
  </si>
  <si>
    <t>0718 408 090</t>
  </si>
  <si>
    <t>SAUDA TWO DLDM</t>
  </si>
  <si>
    <t>SAUDA THERE DLDM</t>
  </si>
  <si>
    <t>S.IBRAHIM PHARMACY</t>
  </si>
  <si>
    <t>0714 405 020</t>
  </si>
  <si>
    <t>ABIKO PHARMACY</t>
  </si>
  <si>
    <t>0657 920  507</t>
  </si>
  <si>
    <t>CLASSIC B DLDM</t>
  </si>
  <si>
    <t>0712 364 936</t>
  </si>
  <si>
    <t>SADA DLDM</t>
  </si>
  <si>
    <t>0712 002 850</t>
  </si>
  <si>
    <t>MADISEMO &amp; ELISHAS DLDM</t>
  </si>
  <si>
    <t>0713 821 947</t>
  </si>
  <si>
    <t>YERIKO DLDM</t>
  </si>
  <si>
    <t>0656 820 986</t>
  </si>
  <si>
    <t>HALISA DLDM</t>
  </si>
  <si>
    <t>0713 500 616</t>
  </si>
  <si>
    <t>MLEZI DLDM</t>
  </si>
  <si>
    <t>0782 872 507</t>
  </si>
  <si>
    <t>MABOGINI DLDM</t>
  </si>
  <si>
    <t>0713 661 121</t>
  </si>
  <si>
    <t>AVOCADO DLDM</t>
  </si>
  <si>
    <t>0786 829 533</t>
  </si>
  <si>
    <t>ELDORY DLDM</t>
  </si>
  <si>
    <t>0717 570 078</t>
  </si>
  <si>
    <t>AMBONI PHARMACY</t>
  </si>
  <si>
    <t>0717 669 285</t>
  </si>
  <si>
    <t>WASALA DLDM</t>
  </si>
  <si>
    <t>0716 720 185</t>
  </si>
  <si>
    <t>MLAMKUMBI DLDM</t>
  </si>
  <si>
    <t>0716 000 873</t>
  </si>
  <si>
    <t>LILI DLDM</t>
  </si>
  <si>
    <t>0717 366 480</t>
  </si>
  <si>
    <t>REBECCA DLDM</t>
  </si>
  <si>
    <t>0658 824 074</t>
  </si>
  <si>
    <t>ROSE PHARMACY</t>
  </si>
  <si>
    <t>0713 499 514</t>
  </si>
  <si>
    <t>MAKOROLA DLDM</t>
  </si>
  <si>
    <t>0656 619 136</t>
  </si>
  <si>
    <t>YERUSALEM DLDM</t>
  </si>
  <si>
    <t>0655 575 734</t>
  </si>
  <si>
    <t>MALINDI DLDM</t>
  </si>
  <si>
    <t>0656 691 827</t>
  </si>
  <si>
    <t>RAFIKI DLDM</t>
  </si>
  <si>
    <t>0678 546 760</t>
  </si>
  <si>
    <t>NUFAA DLDM</t>
  </si>
  <si>
    <t>0712 749 450</t>
  </si>
  <si>
    <t>KTM DLDM</t>
  </si>
  <si>
    <t>0774 259 592</t>
  </si>
  <si>
    <t>RASHID DLDM</t>
  </si>
  <si>
    <t>CLASSIC A DLDM</t>
  </si>
  <si>
    <t>0675 262 697</t>
  </si>
  <si>
    <t>TIBE DLDM</t>
  </si>
  <si>
    <t>0715 823 097</t>
  </si>
  <si>
    <t>CATHERINE DLDM</t>
  </si>
  <si>
    <t>0658 202 314</t>
  </si>
  <si>
    <t>RRH DLDM</t>
  </si>
  <si>
    <t>0657 930 213</t>
  </si>
  <si>
    <t>ZEI DLDM</t>
  </si>
  <si>
    <t>0764 057 285</t>
  </si>
  <si>
    <t>GLORY DLDM</t>
  </si>
  <si>
    <t>0652 287 099</t>
  </si>
  <si>
    <t>DD DLDM</t>
  </si>
  <si>
    <t>0688 704 443</t>
  </si>
  <si>
    <t>MWANG'OMBE PHARMACY</t>
  </si>
  <si>
    <t>0672 015 952</t>
  </si>
  <si>
    <t>CURE DLDM</t>
  </si>
  <si>
    <t>0714 526 866</t>
  </si>
  <si>
    <t>QUALITY A DLDM</t>
  </si>
  <si>
    <t>0717 367 830</t>
  </si>
  <si>
    <t>COMECIAL DLDM</t>
  </si>
  <si>
    <t>0652 555 948</t>
  </si>
  <si>
    <t>TM DLDM</t>
  </si>
  <si>
    <t>0656 832 234</t>
  </si>
  <si>
    <t>KAMOTES DLDM</t>
  </si>
  <si>
    <t>0714 017 050</t>
  </si>
  <si>
    <t>SIMBA DLDM</t>
  </si>
  <si>
    <t>0656 478 054</t>
  </si>
  <si>
    <t>GENERAL MEDICS</t>
  </si>
  <si>
    <t>ZULEKHA PHARMACY</t>
  </si>
  <si>
    <t>0714 929 611</t>
  </si>
  <si>
    <t>RASI DLDM</t>
  </si>
  <si>
    <t>0714 120 941</t>
  </si>
  <si>
    <t>SAKAS DLDM</t>
  </si>
  <si>
    <t>0784 333 229</t>
  </si>
  <si>
    <t>SHEKY DLDM</t>
  </si>
  <si>
    <t>0716 500 959</t>
  </si>
  <si>
    <t>ZENUFA DLDM</t>
  </si>
  <si>
    <t>+255 712 749 450</t>
  </si>
  <si>
    <t>UNGO DLDM</t>
  </si>
  <si>
    <t>0652 524 186</t>
  </si>
  <si>
    <t>CHEI CHEI DLDM</t>
  </si>
  <si>
    <t>0652 844 564</t>
  </si>
  <si>
    <t>TANGA RAHA PHARMACY</t>
  </si>
  <si>
    <t>0655 756 759</t>
  </si>
  <si>
    <t xml:space="preserve">MBWAMBO SHOP </t>
  </si>
  <si>
    <t xml:space="preserve">TANGA TOWN </t>
  </si>
  <si>
    <t>0656 393 582</t>
  </si>
  <si>
    <t xml:space="preserve">MAMA T SHOP </t>
  </si>
  <si>
    <t>0655 782 990</t>
  </si>
  <si>
    <t xml:space="preserve">MAMA J SHOP </t>
  </si>
  <si>
    <t>0718 925 356</t>
  </si>
  <si>
    <t xml:space="preserve">MAMA CHUWA SHOP </t>
  </si>
  <si>
    <t>0624 682 276</t>
  </si>
  <si>
    <t xml:space="preserve">ABDALLAH SHOP </t>
  </si>
  <si>
    <t>0715 991 750</t>
  </si>
  <si>
    <t xml:space="preserve">NASRA SHOP </t>
  </si>
  <si>
    <t>0773 219 865</t>
  </si>
  <si>
    <t xml:space="preserve">OMARY JAMAL SHOP </t>
  </si>
  <si>
    <t>0686 732 111</t>
  </si>
  <si>
    <t xml:space="preserve">IRENE SHOP </t>
  </si>
  <si>
    <t xml:space="preserve">TANGA  TOWN </t>
  </si>
  <si>
    <t>0752 510 873</t>
  </si>
  <si>
    <t xml:space="preserve">STEVE SHOP </t>
  </si>
  <si>
    <t xml:space="preserve">CHARLES SHOP </t>
  </si>
  <si>
    <t>0718 958 268</t>
  </si>
  <si>
    <t xml:space="preserve">OMARY KASUGA SHOP </t>
  </si>
  <si>
    <t>0672 009 951</t>
  </si>
  <si>
    <t xml:space="preserve">MANHA SUPER MARKET </t>
  </si>
  <si>
    <t>0715 897 167</t>
  </si>
  <si>
    <t xml:space="preserve">OKAZ CENTER </t>
  </si>
  <si>
    <t>0715 762 698</t>
  </si>
  <si>
    <t xml:space="preserve">KIBINDO SHOP </t>
  </si>
  <si>
    <t>0719 003 317</t>
  </si>
  <si>
    <t xml:space="preserve">SORANKI SHOP </t>
  </si>
  <si>
    <t>0653 216 677</t>
  </si>
  <si>
    <t xml:space="preserve">AMI SHOP </t>
  </si>
  <si>
    <t>0714 161 315</t>
  </si>
  <si>
    <t xml:space="preserve">HASSAD SHOP </t>
  </si>
  <si>
    <t>0719 189 449</t>
  </si>
  <si>
    <t xml:space="preserve">NASSORO SHOP </t>
  </si>
  <si>
    <t>0712 750 900</t>
  </si>
  <si>
    <t xml:space="preserve">IK'S SHOP </t>
  </si>
  <si>
    <t>0784 403 553</t>
  </si>
  <si>
    <t xml:space="preserve">KADEGHE MDOGO SHOP </t>
  </si>
  <si>
    <t>0713 561 798</t>
  </si>
  <si>
    <t xml:space="preserve">MOHAMED ABDALLAH SHOP </t>
  </si>
  <si>
    <t>0715 384 740</t>
  </si>
  <si>
    <t xml:space="preserve">YUSUFU SHOP </t>
  </si>
  <si>
    <t>0719 438 607</t>
  </si>
  <si>
    <t xml:space="preserve">DATAN SHOP </t>
  </si>
  <si>
    <t>0715 331 709</t>
  </si>
  <si>
    <t xml:space="preserve">ABUSHIRI SHOP </t>
  </si>
  <si>
    <t>0653 107 043</t>
  </si>
  <si>
    <t xml:space="preserve">AMIDU HASSAN SHOP </t>
  </si>
  <si>
    <t>0717 793 106</t>
  </si>
  <si>
    <t xml:space="preserve">MAGRETH SHOP </t>
  </si>
  <si>
    <t>0686 960 200</t>
  </si>
  <si>
    <t xml:space="preserve">MAJISU SHOP </t>
  </si>
  <si>
    <t>0688 949 865</t>
  </si>
  <si>
    <t xml:space="preserve">BABA CHUWA SHOP </t>
  </si>
  <si>
    <t>0658 847 628</t>
  </si>
  <si>
    <t>Omary Ally Shop</t>
  </si>
  <si>
    <t xml:space="preserve">Tanga </t>
  </si>
  <si>
    <t>0654 570 200</t>
  </si>
  <si>
    <t xml:space="preserve">Medlife Ph </t>
  </si>
  <si>
    <t>0766 471 484</t>
  </si>
  <si>
    <t xml:space="preserve">Domida Ph </t>
  </si>
  <si>
    <t>0756 300 963</t>
  </si>
  <si>
    <t>Mbwambo Shop</t>
  </si>
  <si>
    <t>0616 122 710</t>
  </si>
  <si>
    <t xml:space="preserve">International Ph </t>
  </si>
  <si>
    <t>+255 686 108 160</t>
  </si>
  <si>
    <t xml:space="preserve">Mbwambo 2 Shop </t>
  </si>
  <si>
    <t>0657 163 255</t>
  </si>
  <si>
    <t xml:space="preserve">Pela Ph </t>
  </si>
  <si>
    <t xml:space="preserve">Nasra Shop </t>
  </si>
  <si>
    <t>0779 437 372</t>
  </si>
  <si>
    <t xml:space="preserve">Mama T Shop </t>
  </si>
  <si>
    <t xml:space="preserve">Mama Chuwa Shop </t>
  </si>
  <si>
    <t xml:space="preserve">Haji Shop </t>
  </si>
  <si>
    <t>0679 197 271</t>
  </si>
  <si>
    <t xml:space="preserve">Shakamaya Shop </t>
  </si>
  <si>
    <t>0621 124 925</t>
  </si>
  <si>
    <t xml:space="preserve">Mvuni Shop </t>
  </si>
  <si>
    <t>0652 171 244</t>
  </si>
  <si>
    <t>NURU KANGE DLDM</t>
  </si>
  <si>
    <t>KANGE</t>
  </si>
  <si>
    <t>0713 850 910</t>
  </si>
  <si>
    <t>SHILO DLDM</t>
  </si>
  <si>
    <t>0716 966 337</t>
  </si>
  <si>
    <t>MERELA DLDM</t>
  </si>
  <si>
    <t>+255 625 436 114</t>
  </si>
  <si>
    <t>FARAJA DLDM</t>
  </si>
  <si>
    <t>0659 112 336</t>
  </si>
  <si>
    <t>GMM DLDM</t>
  </si>
  <si>
    <t>0784 813 506</t>
  </si>
  <si>
    <t>ERICK DLDM</t>
  </si>
  <si>
    <t>0757 616 925</t>
  </si>
  <si>
    <t>HOPE DLDM</t>
  </si>
  <si>
    <t>+255 759 191 128</t>
  </si>
  <si>
    <t>LAMECK DLDM</t>
  </si>
  <si>
    <t>0773 254 595</t>
  </si>
  <si>
    <t>MBOLIMBOLI DLDM</t>
  </si>
  <si>
    <t>0767 196 019</t>
  </si>
  <si>
    <t>MNYONE DLDM</t>
  </si>
  <si>
    <t>0715 343 000</t>
  </si>
  <si>
    <t>MSHANA DLDM</t>
  </si>
  <si>
    <t>0679 548 988</t>
  </si>
  <si>
    <t>NYANDA DLDM</t>
  </si>
  <si>
    <t>0717 739 698</t>
  </si>
  <si>
    <t>ZAM ZAM PHARMACY</t>
  </si>
  <si>
    <t>0717 483 565</t>
  </si>
  <si>
    <t>SAYYI DLDM</t>
  </si>
  <si>
    <t>0674 308 700</t>
  </si>
  <si>
    <t>PRISCA DLDM</t>
  </si>
  <si>
    <t>0699 878 700</t>
  </si>
  <si>
    <t>PHINER DLDM</t>
  </si>
  <si>
    <t>0658 365 508</t>
  </si>
  <si>
    <t>PONGWE PHARMACY</t>
  </si>
  <si>
    <t>PONGWE</t>
  </si>
  <si>
    <t>0717 588 622</t>
  </si>
  <si>
    <t>MODERN MEDICS</t>
  </si>
  <si>
    <t>0659 707 363</t>
  </si>
  <si>
    <t>SABUNI MEDICS</t>
  </si>
  <si>
    <t>0657 912 577</t>
  </si>
  <si>
    <t>TSUMA MEDICS</t>
  </si>
  <si>
    <t>0714 401 964</t>
  </si>
  <si>
    <t>NH DLDM</t>
  </si>
  <si>
    <t>0715 881 711</t>
  </si>
  <si>
    <t>NYABUSANI DLDM</t>
  </si>
  <si>
    <t>0713 365 029</t>
  </si>
  <si>
    <t>KISIWANI DLDM</t>
  </si>
  <si>
    <t>0654 683 797</t>
  </si>
  <si>
    <t>KASSIM PH</t>
  </si>
  <si>
    <t>MUHEZA</t>
  </si>
  <si>
    <t>0674 070 723</t>
  </si>
  <si>
    <t>GETAWAY PHARMACY</t>
  </si>
  <si>
    <t>0713 860 743</t>
  </si>
  <si>
    <t>ZAYON MEDICS</t>
  </si>
  <si>
    <t>0622 247 114</t>
  </si>
  <si>
    <t>DAFA DLDM</t>
  </si>
  <si>
    <t>0718 662 528</t>
  </si>
  <si>
    <t>FM ONE DLDM</t>
  </si>
  <si>
    <t>0677 678 110</t>
  </si>
  <si>
    <t>FM TWO DLDM</t>
  </si>
  <si>
    <t>MBARAMO DLDM</t>
  </si>
  <si>
    <t>0715 932 744</t>
  </si>
  <si>
    <t>JERRY DLDM</t>
  </si>
  <si>
    <t>0675 585 149</t>
  </si>
  <si>
    <t>BEATHA DLDM</t>
  </si>
  <si>
    <t>0652 884 688</t>
  </si>
  <si>
    <t>UPENDO DLDM</t>
  </si>
  <si>
    <t>0655 104 689</t>
  </si>
  <si>
    <t>DATTY PHARMACY</t>
  </si>
  <si>
    <t>0711 909 144</t>
  </si>
  <si>
    <t>META PHARMACY</t>
  </si>
  <si>
    <t>0672 555 301</t>
  </si>
  <si>
    <t>MTEGA PHARMACY</t>
  </si>
  <si>
    <t>0677 734 868</t>
  </si>
  <si>
    <t>WEMA DLDM</t>
  </si>
  <si>
    <t>0714 792 510</t>
  </si>
  <si>
    <t>KAONEKA DLDM</t>
  </si>
  <si>
    <t>0654 965 982</t>
  </si>
  <si>
    <t>SHIMBI DLDM</t>
  </si>
  <si>
    <t>0658 005 720</t>
  </si>
  <si>
    <t>MAJENGO DLDM</t>
  </si>
  <si>
    <t>0659 125 707</t>
  </si>
  <si>
    <t>ALA IN ONE DLDM</t>
  </si>
  <si>
    <t>0658 586 664</t>
  </si>
  <si>
    <t>SEMBONI PART ONE PHARMACY</t>
  </si>
  <si>
    <t>0713 989 026</t>
  </si>
  <si>
    <t>SEMBONI PART TWO DLDM</t>
  </si>
  <si>
    <t>MAMBANO DLDM</t>
  </si>
  <si>
    <t>0712 977 623</t>
  </si>
  <si>
    <t>MINA DLDM</t>
  </si>
  <si>
    <t>0623 338 341</t>
  </si>
  <si>
    <t>MSAMALIA MEDICS</t>
  </si>
  <si>
    <t>0714 274 000</t>
  </si>
  <si>
    <t>MIHO MEDEICS</t>
  </si>
  <si>
    <t>0652 888 597</t>
  </si>
  <si>
    <t>MGENI DLDM</t>
  </si>
  <si>
    <t>0779 706 300</t>
  </si>
  <si>
    <t>JOHN'S CORNER PHARMACY</t>
  </si>
  <si>
    <t>0712 343 465</t>
  </si>
  <si>
    <t xml:space="preserve">MUHEZA </t>
  </si>
  <si>
    <t>0652 720 747</t>
  </si>
  <si>
    <t xml:space="preserve">ABEL SHOP </t>
  </si>
  <si>
    <t>0715 974 303</t>
  </si>
  <si>
    <t xml:space="preserve">ASHA SHOP </t>
  </si>
  <si>
    <t>0653 225 110</t>
  </si>
  <si>
    <t>YAHAYA SHOP</t>
  </si>
  <si>
    <t>0675 003 556</t>
  </si>
  <si>
    <t xml:space="preserve">SALIM SHOP </t>
  </si>
  <si>
    <t>0678 725 640</t>
  </si>
  <si>
    <t xml:space="preserve">SMART SHOP </t>
  </si>
  <si>
    <t>0622 989 370</t>
  </si>
  <si>
    <t xml:space="preserve">SWALEHE SHOP </t>
  </si>
  <si>
    <t>0719 490 277</t>
  </si>
  <si>
    <t xml:space="preserve">Nyakusagira Ph </t>
  </si>
  <si>
    <t xml:space="preserve">Korogwe </t>
  </si>
  <si>
    <t>0784 200 160</t>
  </si>
  <si>
    <t xml:space="preserve">Matesh Ph </t>
  </si>
  <si>
    <t>0716 266 144</t>
  </si>
  <si>
    <t xml:space="preserve">Mbwana Shop </t>
  </si>
  <si>
    <t>+255 752 156 275</t>
  </si>
  <si>
    <t xml:space="preserve">Gerald Bahati Shop </t>
  </si>
  <si>
    <t>0713 803 738</t>
  </si>
  <si>
    <t>Dagaro Shop</t>
  </si>
  <si>
    <t>0657 843 665</t>
  </si>
  <si>
    <t xml:space="preserve">Rukia Muya Shop </t>
  </si>
  <si>
    <t>Juma Shop</t>
  </si>
  <si>
    <t>Korogwe</t>
  </si>
  <si>
    <t>0713 921 840</t>
  </si>
  <si>
    <t>Yasin Shop</t>
  </si>
  <si>
    <t>0712 442 911</t>
  </si>
  <si>
    <t>Fadhili Shop</t>
  </si>
  <si>
    <t>0713 863 832</t>
  </si>
  <si>
    <t xml:space="preserve">Ramso Shop </t>
  </si>
  <si>
    <t>0715 098 485</t>
  </si>
  <si>
    <t xml:space="preserve">Mkongo Shop </t>
  </si>
  <si>
    <t xml:space="preserve">Mp Shayo Shop </t>
  </si>
  <si>
    <t xml:space="preserve">Hashna Shop </t>
  </si>
  <si>
    <t xml:space="preserve">Sheshe Mkwizu Shop </t>
  </si>
  <si>
    <t>MDK PHARMACY</t>
  </si>
  <si>
    <t>KOROGWE</t>
  </si>
  <si>
    <t>0652 916 100</t>
  </si>
  <si>
    <t>DOROH DLDM</t>
  </si>
  <si>
    <t>0768 008 648</t>
  </si>
  <si>
    <t>GOOD HOPE DLDM</t>
  </si>
  <si>
    <t>0714 398 681</t>
  </si>
  <si>
    <t>MUDY DLDM</t>
  </si>
  <si>
    <t>0676 898 987</t>
  </si>
  <si>
    <t>0714 782 147</t>
  </si>
  <si>
    <t>SANGA DLDM</t>
  </si>
  <si>
    <t>0674 550 222</t>
  </si>
  <si>
    <t>M.K DLDM</t>
  </si>
  <si>
    <t>0715 360 083</t>
  </si>
  <si>
    <t>TIP TOP DLDM</t>
  </si>
  <si>
    <t>0715 685 137</t>
  </si>
  <si>
    <t>LIFE CARE DLDM</t>
  </si>
  <si>
    <t>0757 879 142</t>
  </si>
  <si>
    <t>GAWILE DLDM</t>
  </si>
  <si>
    <t>0714 678 843, 0713 375 559</t>
  </si>
  <si>
    <t>BI JOI DLDM</t>
  </si>
  <si>
    <t>MKOMBOZI DLDM</t>
  </si>
  <si>
    <t>0711 767 556</t>
  </si>
  <si>
    <t>0716 039 621</t>
  </si>
  <si>
    <t>TWO IN ONE PHARMACY</t>
  </si>
  <si>
    <t>0652 771 570</t>
  </si>
  <si>
    <t>MUTESHI BLANCH PHARMACY</t>
  </si>
  <si>
    <t>PAMOJA PHARMACY</t>
  </si>
  <si>
    <t>0654 344 834</t>
  </si>
  <si>
    <t>FURAHA PHARMACY</t>
  </si>
  <si>
    <t>0657 174 734</t>
  </si>
  <si>
    <t>KETA MEDICS</t>
  </si>
  <si>
    <t>0627 112 762</t>
  </si>
  <si>
    <t xml:space="preserve">DAGARO SHOP </t>
  </si>
  <si>
    <t xml:space="preserve">KOROGWE </t>
  </si>
  <si>
    <t xml:space="preserve">GERALD BAHATI SHOP </t>
  </si>
  <si>
    <t xml:space="preserve">GIFT MINI SUPER MARKET </t>
  </si>
  <si>
    <t>0717 357 275</t>
  </si>
  <si>
    <t xml:space="preserve">KIMARO SHOP </t>
  </si>
  <si>
    <t>0657 148 986</t>
  </si>
  <si>
    <t xml:space="preserve">LIVING SHOP </t>
  </si>
  <si>
    <t>0714 872 422</t>
  </si>
  <si>
    <t xml:space="preserve">RAMADHANI SHOP </t>
  </si>
  <si>
    <t>0652 296 604</t>
  </si>
  <si>
    <t xml:space="preserve">RAMSO SHOP </t>
  </si>
  <si>
    <t>0672 333 237</t>
  </si>
  <si>
    <t xml:space="preserve">SAMWELI MASINDE SHOP </t>
  </si>
  <si>
    <t>0715 819 997</t>
  </si>
  <si>
    <t xml:space="preserve">HASHNA SHOP </t>
  </si>
  <si>
    <t xml:space="preserve">MOMBO </t>
  </si>
  <si>
    <t>0713 747 525</t>
  </si>
  <si>
    <t xml:space="preserve">MP SHAYO SHOP </t>
  </si>
  <si>
    <t>0655 668 552</t>
  </si>
  <si>
    <t>MUZDALIFAH</t>
  </si>
  <si>
    <t>MOMBO</t>
  </si>
  <si>
    <t>0714 711 214</t>
  </si>
  <si>
    <t xml:space="preserve">SELEMANI SHOP </t>
  </si>
  <si>
    <t>0672 116 938</t>
  </si>
  <si>
    <t xml:space="preserve">SHESHE KWIZILI SHOP </t>
  </si>
  <si>
    <t>0654 314 756</t>
  </si>
  <si>
    <t xml:space="preserve">FITRAH PHARMACY </t>
  </si>
  <si>
    <t>HANDENI</t>
  </si>
  <si>
    <t>0654 222 261</t>
  </si>
  <si>
    <t>CHOGO DLDM</t>
  </si>
  <si>
    <t>0658 757 717</t>
  </si>
  <si>
    <t>SHESA MEDICS</t>
  </si>
  <si>
    <t>0628 929 366, 0652 061 558</t>
  </si>
  <si>
    <t>G.M DLDM</t>
  </si>
  <si>
    <t>0628 257 394</t>
  </si>
  <si>
    <t>ZAM DLDM</t>
  </si>
  <si>
    <t>0654 320 276, 0786 210 055</t>
  </si>
  <si>
    <t>SWAI DLDM</t>
  </si>
  <si>
    <t>0659 482 551</t>
  </si>
  <si>
    <t>KAUYE PHARMACY</t>
  </si>
  <si>
    <t>0715 864 917</t>
  </si>
  <si>
    <t>0768 657 387</t>
  </si>
  <si>
    <t>NAATWE DLDM</t>
  </si>
  <si>
    <t>0675 006 989</t>
  </si>
  <si>
    <t>JOHARI PHARMACY</t>
  </si>
  <si>
    <t>THAKHIR DLDM</t>
  </si>
  <si>
    <t>0676 621 800</t>
  </si>
  <si>
    <t>MSEJWA DISPENSARY</t>
  </si>
  <si>
    <t>0673 537 526</t>
  </si>
  <si>
    <t>DHAMIRA DLDM</t>
  </si>
  <si>
    <t>0715 221 307</t>
  </si>
  <si>
    <t>HOYAWANA DLDM</t>
  </si>
  <si>
    <t>0716 112 294</t>
  </si>
  <si>
    <t>NEEMA SAWE DLDM</t>
  </si>
  <si>
    <t>0712 198 901</t>
  </si>
  <si>
    <t>EMMANUEL DLDM</t>
  </si>
  <si>
    <t>0714 434 180</t>
  </si>
  <si>
    <t>TABU DLDM</t>
  </si>
  <si>
    <t>0655 735 263</t>
  </si>
  <si>
    <t>FAITH PHARMACY</t>
  </si>
  <si>
    <t>0764 641 407</t>
  </si>
  <si>
    <t>ZAWADI DLDM</t>
  </si>
  <si>
    <t>0654 018 679</t>
  </si>
  <si>
    <t>MSAMALIA DISPENSARY</t>
  </si>
  <si>
    <t>0718 100 136</t>
  </si>
  <si>
    <t>CARE AND CURE PHARMACY</t>
  </si>
  <si>
    <t>0677 262 517</t>
  </si>
  <si>
    <t>FURAHIA PHARMACY</t>
  </si>
  <si>
    <t>0719 140 033</t>
  </si>
  <si>
    <t>KWA MDUMA DLDM</t>
  </si>
  <si>
    <t>0652 853 117</t>
  </si>
  <si>
    <t>MALAMSHA SHOP</t>
  </si>
  <si>
    <t>0718 293 812</t>
  </si>
  <si>
    <t>MUARABU SHOP</t>
  </si>
  <si>
    <t>0715 212 928</t>
  </si>
  <si>
    <t>RAMA MISIMA SHOP</t>
  </si>
  <si>
    <t>ENGWA SHOP</t>
  </si>
  <si>
    <t>HANDENI - MSAJE</t>
  </si>
  <si>
    <t>0623 253 067</t>
  </si>
  <si>
    <t>BONDAGE DLDM</t>
  </si>
  <si>
    <t>0625 327 819</t>
  </si>
  <si>
    <t>MSAJE DLDM</t>
  </si>
  <si>
    <t>0716 255 672</t>
  </si>
  <si>
    <t>YOUNG BOY ONE DLDM</t>
  </si>
  <si>
    <t>0715 796 645</t>
  </si>
  <si>
    <t>WATATU DLDM</t>
  </si>
  <si>
    <t>0623 616 981</t>
  </si>
  <si>
    <t>LATIFA DLDM</t>
  </si>
  <si>
    <t>0626 592 618</t>
  </si>
  <si>
    <t>KWALUWALA</t>
  </si>
  <si>
    <t>0652 295 599</t>
  </si>
  <si>
    <t>MSAJE DISPENSARY</t>
  </si>
  <si>
    <t>RICHARD DLDM</t>
  </si>
  <si>
    <t>HANDENI - KAN'GATA</t>
  </si>
  <si>
    <t>0757 836 538</t>
  </si>
  <si>
    <t>NYEGEZI DLDM</t>
  </si>
  <si>
    <t>0753 605 312</t>
  </si>
  <si>
    <t>MAGALU DLDM</t>
  </si>
  <si>
    <t>0623 244 976</t>
  </si>
  <si>
    <t>KAN'GATA DISPENSARY</t>
  </si>
  <si>
    <t>MAGRETH DLDM</t>
  </si>
  <si>
    <t>HANDENI - MADEBE</t>
  </si>
  <si>
    <t>0763 172 768</t>
  </si>
  <si>
    <t>SHAFII DLDM</t>
  </si>
  <si>
    <t>0626 961 091</t>
  </si>
  <si>
    <t>MADEBE DISPENSARY</t>
  </si>
  <si>
    <t>EBENEZER DLDM</t>
  </si>
  <si>
    <t>HANDENI - KWAMAGOME</t>
  </si>
  <si>
    <t>0621 914 184</t>
  </si>
  <si>
    <t>ZULFA DLDM</t>
  </si>
  <si>
    <t>0692 313 377</t>
  </si>
  <si>
    <t>FURAHA DLDM</t>
  </si>
  <si>
    <t>HANDENI - KIDEREKO</t>
  </si>
  <si>
    <t>0673 249 015</t>
  </si>
  <si>
    <t>MANYEMA DLDM</t>
  </si>
  <si>
    <t>0713 468 979</t>
  </si>
  <si>
    <t>GUHANI DLDM</t>
  </si>
  <si>
    <t>0714 186 000</t>
  </si>
  <si>
    <t>MKULIMA SHOP</t>
  </si>
  <si>
    <t>0674 690 814</t>
  </si>
  <si>
    <t>PEACE AND LOVE ONE DLDM (MASALA)</t>
  </si>
  <si>
    <t>HANDENI - KIBAONI</t>
  </si>
  <si>
    <t>0657 724 627</t>
  </si>
  <si>
    <t>PEACE AND LOVE TWO DLDM</t>
  </si>
  <si>
    <t>MAOGOLAH DLDM</t>
  </si>
  <si>
    <t>0655 527 862, 0742 274 576</t>
  </si>
  <si>
    <t>MLIMANI DLDM</t>
  </si>
  <si>
    <t>0672 033 103</t>
  </si>
  <si>
    <t>PORTFOLIO SUMMARY</t>
  </si>
  <si>
    <t>Total Clients</t>
  </si>
  <si>
    <t>BY CATEGORY</t>
  </si>
  <si>
    <t>Count</t>
  </si>
  <si>
    <t>Pharmacies (Ph)</t>
  </si>
  <si>
    <t>Duka la Dawa (DLDM)</t>
  </si>
  <si>
    <t>Shops</t>
  </si>
  <si>
    <t>BY TERRITORY</t>
  </si>
  <si>
    <t>Dar es Salaam</t>
  </si>
  <si>
    <t>Tanga Region</t>
  </si>
  <si>
    <t>Action</t>
  </si>
  <si>
    <t>GMLT</t>
  </si>
  <si>
    <t>GMCT</t>
  </si>
  <si>
    <t>WWGW</t>
  </si>
  <si>
    <t>BTZ</t>
  </si>
  <si>
    <t>supermarket</t>
  </si>
  <si>
    <t>Row Labels</t>
  </si>
  <si>
    <t>Grand Total</t>
  </si>
  <si>
    <t>Count of CLIENT NAME</t>
  </si>
  <si>
    <t>Column Labels</t>
  </si>
  <si>
    <t>Malack Tweve Regional Analysis Dashboard 2026</t>
  </si>
  <si>
    <t>Product</t>
  </si>
  <si>
    <t>Units</t>
  </si>
  <si>
    <t>Aount</t>
  </si>
  <si>
    <t>Sum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</si>
</sst>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_-* #,##0_-;\-* #,##0_-;_-* &quot;-&quot;??_-;_-@_-"/>
  </numFmts>
  <fonts count="6" x14ac:knownFonts="1">
    <font>
      <sz val="11"/>
      <color theme="1"/>
      <name val="Calibri"/>
      <family val="2"/>
      <scheme val="minor"/>
    </font>
    <font>
      <b/>
      <sz val="14"/>
      <color rgb="FF1E4D78"/>
      <name val="Calibri"/>
    </font>
    <font>
      <b/>
      <sz val="11"/>
      <name val="Calibri"/>
    </font>
    <font>
      <sz val="11"/>
      <color theme="1"/>
      <name val="Calibri"/>
      <family val="2"/>
      <scheme val="minor"/>
    </font>
    <font>
      <sz val="22"/>
      <color theme="1"/>
      <name val="Aptos Black"/>
      <family val="2"/>
    </font>
    <font>
      <sz val="22"/>
      <color rgb="FF0070C0"/>
      <name val="Aptos Black"/>
      <family val="2"/>
    </font>
  </fonts>
  <fills count="4">
    <fill>
      <patternFill patternType="none"/>
    </fill>
    <fill>
      <patternFill patternType="gray125"/>
    </fill>
    <fill>
      <patternFill patternType="solid">
        <fgColor rgb="FFE8F4F8"/>
        <bgColor rgb="FFE8F4F8"/>
      </patternFill>
    </fill>
    <fill>
      <patternFill patternType="solid">
        <fgColor theme="7" tint="0.79998168889431442"/>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10">
    <xf numFmtId="0" fontId="0" fillId="0" borderId="0" xfId="0"/>
    <xf numFmtId="0" fontId="1" fillId="0" borderId="0" xfId="0" applyFont="1"/>
    <xf numFmtId="0" fontId="2" fillId="2" borderId="0" xfId="0" applyFont="1" applyFill="1"/>
    <xf numFmtId="0" fontId="0" fillId="0" borderId="0" xfId="0" pivotButton="1"/>
    <xf numFmtId="0" fontId="0" fillId="0" borderId="0" xfId="0" applyAlignment="1">
      <alignment horizontal="left"/>
    </xf>
    <xf numFmtId="0" fontId="0" fillId="0" borderId="0" xfId="0" applyNumberFormat="1"/>
    <xf numFmtId="165" fontId="0" fillId="0" borderId="0" xfId="1" applyNumberFormat="1" applyFont="1"/>
    <xf numFmtId="0" fontId="0" fillId="0" borderId="0" xfId="0" applyAlignment="1">
      <alignment horizontal="left" indent="1"/>
    </xf>
    <xf numFmtId="0" fontId="5" fillId="3" borderId="0" xfId="0" applyFont="1" applyFill="1" applyAlignment="1">
      <alignment horizontal="left" vertical="center"/>
    </xf>
    <xf numFmtId="165" fontId="4" fillId="0" borderId="0" xfId="1" applyNumberFormat="1" applyFont="1" applyAlignment="1">
      <alignment vertical="center"/>
    </xf>
  </cellXfs>
  <cellStyles count="2">
    <cellStyle name="Comma" xfId="1" builtinId="3"/>
    <cellStyle name="Normal" xfId="0" builtinId="0"/>
  </cellStyles>
  <dxfs count="0"/>
  <tableStyles count="0" defaultTableStyle="TableStyleMedium9"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[MALACK_CUSTOMER_DATABASE_2025_UPDATED-6.12.2025_other.xlsx]All!PivotTable2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All!$B$3:$B$4</c:f>
              <c:strCache>
                <c:ptCount val="1"/>
                <c:pt idx="0">
                  <c:v>GMLT</c:v>
                </c:pt>
              </c:strCache>
            </c:strRef>
          </c:tx>
          <c:spPr>
            <a:solidFill>
              <a:schemeClr val="accent1"/>
            </a:solidFill>
            <a:ln>
              <a:noFill/>
            </a:ln>
            <a:effectLst/>
          </c:spPr>
          <c:invertIfNegative val="0"/>
          <c:cat>
            <c:multiLvlStrRef>
              <c:f>All!$A$5:$A$13</c:f>
              <c:multiLvlStrCache>
                <c:ptCount val="7"/>
                <c:lvl>
                  <c:pt idx="0">
                    <c:v>Buza </c:v>
                  </c:pt>
                  <c:pt idx="1">
                    <c:v>Kigamboni</c:v>
                  </c:pt>
                  <c:pt idx="2">
                    <c:v>Kimbiji</c:v>
                  </c:pt>
                  <c:pt idx="3">
                    <c:v>Majohe </c:v>
                  </c:pt>
                  <c:pt idx="4">
                    <c:v>Moshi Baa</c:v>
                  </c:pt>
                  <c:pt idx="5">
                    <c:v>Mtoni</c:v>
                  </c:pt>
                  <c:pt idx="6">
                    <c:v>Yombo</c:v>
                  </c:pt>
                </c:lvl>
                <c:lvl>
                  <c:pt idx="0">
                    <c:v>DSM</c:v>
                  </c:pt>
                </c:lvl>
              </c:multiLvlStrCache>
            </c:multiLvlStrRef>
          </c:cat>
          <c:val>
            <c:numRef>
              <c:f>All!$B$5:$B$13</c:f>
              <c:numCache>
                <c:formatCode>General</c:formatCode>
                <c:ptCount val="7"/>
                <c:pt idx="0">
                  <c:v>160</c:v>
                </c:pt>
                <c:pt idx="1">
                  <c:v>947</c:v>
                </c:pt>
                <c:pt idx="2">
                  <c:v>792</c:v>
                </c:pt>
                <c:pt idx="3">
                  <c:v>219</c:v>
                </c:pt>
                <c:pt idx="4">
                  <c:v>602</c:v>
                </c:pt>
                <c:pt idx="5">
                  <c:v>820</c:v>
                </c:pt>
                <c:pt idx="6">
                  <c:v>458</c:v>
                </c:pt>
              </c:numCache>
            </c:numRef>
          </c:val>
          <c:extLst>
            <c:ext xmlns:c16="http://schemas.microsoft.com/office/drawing/2014/chart" uri="{C3380CC4-5D6E-409C-BE32-E72D297353CC}">
              <c16:uniqueId val="{0000000F-AE93-43DD-98F9-CF74E73410C1}"/>
            </c:ext>
          </c:extLst>
        </c:ser>
        <c:dLbls>
          <c:showLegendKey val="0"/>
          <c:showVal val="0"/>
          <c:showCatName val="0"/>
          <c:showSerName val="0"/>
          <c:showPercent val="0"/>
          <c:showBubbleSize val="0"/>
        </c:dLbls>
        <c:gapWidth val="150"/>
        <c:overlap val="100"/>
        <c:axId val="1853635791"/>
        <c:axId val="1853628591"/>
      </c:barChart>
      <c:catAx>
        <c:axId val="185363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28591"/>
        <c:crosses val="autoZero"/>
        <c:auto val="1"/>
        <c:lblAlgn val="ctr"/>
        <c:lblOffset val="100"/>
        <c:noMultiLvlLbl val="0"/>
      </c:catAx>
      <c:valAx>
        <c:axId val="185362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3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[MALACK_CUSTOMER_DATABASE_2025_UPDATED-6.12.2025_other.xlsx]TR!PivotTable3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Teritory</a:t>
            </a:r>
            <a:r>
              <a:rPr lang="en-US" baseline="0"/>
              <a:t> Clientale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TR!$B$3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EC-43EC-B8BF-028CC0F3B6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EC-43EC-B8BF-028CC0F3B6F7}"/>
              </c:ext>
            </c:extLst>
          </c:dPt>
          <c:cat>
            <c:strRef>
              <c:f>TR!$A$4:$A$5</c:f>
              <c:strCache>
                <c:ptCount val="1"/>
                <c:pt idx="0">
                  <c:v>DSM</c:v>
                </c:pt>
              </c:strCache>
            </c:strRef>
          </c:cat>
          <c:val>
            <c:numRef>
              <c:f>TR!$B$4:$B$5</c:f>
              <c:numCache>
                <c:formatCode>General</c:formatCode>
                <c:ptCount val="1"/>
                <c:pt idx="0">
                  <c:v>9</c:v>
                </c:pt>
              </c:numCache>
            </c:numRef>
          </c:val>
          <c:extLst>
            <c:ext xmlns:c16="http://schemas.microsoft.com/office/drawing/2014/chart" uri="{C3380CC4-5D6E-409C-BE32-E72D297353CC}">
              <c16:uniqueId val="{00000004-D1EC-43EC-B8BF-028CC0F3B6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[MALACK_CUSTOMER_DATABASE_2025_UPDATED-6.12.2025_other.xlsx]Sheet4!PivotTable4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My</a:t>
            </a:r>
            <a:r>
              <a:rPr lang="en-US" baseline="0"/>
              <a:t> Portifolio</a:t>
            </a:r>
            <a:endParaRPr lang="en-US"/>
          </a:p>
        </c:rich>
      </c:tx>
      <c:layout>
        <c:manualLayout>
          <c:xMode val="edge"/>
          <c:yMode val="edge"/>
          <c:x val="5.7313561088494398E-2"/>
          <c:y val="3.49650349650349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GMLT</c:v>
                </c:pt>
              </c:strCache>
            </c:strRef>
          </c:cat>
          <c:val>
            <c:numRef>
              <c:f>Sheet4!$B$4:$B$5</c:f>
              <c:numCache>
                <c:formatCode>General</c:formatCode>
                <c:ptCount val="1"/>
                <c:pt idx="0">
                  <c:v>3998</c:v>
                </c:pt>
              </c:numCache>
            </c:numRef>
          </c:val>
          <c:extLst>
            <c:ext xmlns:c16="http://schemas.microsoft.com/office/drawing/2014/chart" uri="{C3380CC4-5D6E-409C-BE32-E72D297353CC}">
              <c16:uniqueId val="{00000001-377D-45A1-B6AB-CFB72C1BAEC7}"/>
            </c:ext>
          </c:extLst>
        </c:ser>
        <c:dLbls>
          <c:showLegendKey val="0"/>
          <c:showVal val="0"/>
          <c:showCatName val="0"/>
          <c:showSerName val="0"/>
          <c:showPercent val="0"/>
          <c:showBubbleSize val="0"/>
        </c:dLbls>
        <c:gapWidth val="21"/>
        <c:axId val="97720527"/>
        <c:axId val="97722447"/>
      </c:barChart>
      <c:catAx>
        <c:axId val="9772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22447"/>
        <c:crosses val="autoZero"/>
        <c:auto val="1"/>
        <c:lblAlgn val="ctr"/>
        <c:lblOffset val="100"/>
        <c:noMultiLvlLbl val="0"/>
      </c:catAx>
      <c:valAx>
        <c:axId val="97722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2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457200</xdr:colOff>
      <xdr:row>12</xdr:row>
      <xdr:rowOff>22860</xdr:rowOff>
    </xdr:from>
    <xdr:to>
      <xdr:col>14</xdr:col>
      <xdr:colOff>114300</xdr:colOff>
      <xdr:row>33</xdr:row>
      <xdr:rowOff>160020</xdr:rowOff>
    </xdr:to>
    <xdr:graphicFrame macro="">
      <xdr:nvGraphicFramePr>
        <xdr:cNvPr id="2" name="Chart 1">
          <a:extLst>
            <a:ext uri="{FF2B5EF4-FFF2-40B4-BE49-F238E27FC236}">
              <a16:creationId xmlns:a16="http://schemas.microsoft.com/office/drawing/2014/main" id="{ADFE45E7-D96E-4F0A-BAA4-71CF723D5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434340</xdr:colOff>
      <xdr:row>2</xdr:row>
      <xdr:rowOff>38100</xdr:rowOff>
    </xdr:from>
    <xdr:to>
      <xdr:col>6</xdr:col>
      <xdr:colOff>350520</xdr:colOff>
      <xdr:row>12</xdr:row>
      <xdr:rowOff>7620</xdr:rowOff>
    </xdr:to>
    <xdr:graphicFrame macro="">
      <xdr:nvGraphicFramePr>
        <xdr:cNvPr id="3" name="Chart 2">
          <a:extLst>
            <a:ext uri="{FF2B5EF4-FFF2-40B4-BE49-F238E27FC236}">
              <a16:creationId xmlns:a16="http://schemas.microsoft.com/office/drawing/2014/main" id="{C7B34603-1F4A-4A93-BA8C-D46BC791F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426720</xdr:colOff>
      <xdr:row>2</xdr:row>
      <xdr:rowOff>53340</xdr:rowOff>
    </xdr:from>
    <xdr:to>
      <xdr:col>14</xdr:col>
      <xdr:colOff>251460</xdr:colOff>
      <xdr:row>12</xdr:row>
      <xdr:rowOff>0</xdr:rowOff>
    </xdr:to>
    <xdr:graphicFrame macro="">
      <xdr:nvGraphicFramePr>
        <xdr:cNvPr id="4" name="Chart 3">
          <a:extLst>
            <a:ext uri="{FF2B5EF4-FFF2-40B4-BE49-F238E27FC236}">
              <a16:creationId xmlns:a16="http://schemas.microsoft.com/office/drawing/2014/main" id="{53678C2B-4A91-4D50-AB74-4998356C3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114301</xdr:colOff>
      <xdr:row>1</xdr:row>
      <xdr:rowOff>108942</xdr:rowOff>
    </xdr:from>
    <xdr:to>
      <xdr:col>14</xdr:col>
      <xdr:colOff>419100</xdr:colOff>
      <xdr:row>1</xdr:row>
      <xdr:rowOff>512405</xdr:rowOff>
    </xdr:to>
    <xdr:pic>
      <xdr:nvPicPr>
        <xdr:cNvPr id="5" name="Picture 4">
          <a:extLst>
            <a:ext uri="{FF2B5EF4-FFF2-40B4-BE49-F238E27FC236}">
              <a16:creationId xmlns:a16="http://schemas.microsoft.com/office/drawing/2014/main" id="{2FBE3DDD-7D69-616E-3325-03D9598C60C7}"/>
            </a:ext>
          </a:extLst>
        </xdr:cNvPr>
        <xdr:cNvPicPr>
          <a:picLocks noChangeAspect="1"/>
        </xdr:cNvPicPr>
      </xdr:nvPicPr>
      <xdr:blipFill>
        <a:blip xmlns:r="http://schemas.openxmlformats.org/officeDocument/2006/relationships" r:embed="rId4"/>
        <a:stretch>
          <a:fillRect/>
        </a:stretch>
      </xdr:blipFill>
      <xdr:spPr>
        <a:xfrm>
          <a:off x="7642861" y="291822"/>
          <a:ext cx="914399" cy="403463"/>
        </a:xfrm>
        <a:prstGeom prst="rect">
          <a:avLst/>
        </a:prstGeom>
      </xdr:spPr>
    </xdr:pic>
    <xdr:clientData/>
  </xdr:twoCellAnchor>
  <xdr:twoCellAnchor editAs="oneCell">
    <xdr:from>
      <xdr:col>0</xdr:col>
      <xdr:colOff>114300</xdr:colOff>
      <xdr:row>1</xdr:row>
      <xdr:rowOff>563880</xdr:rowOff>
    </xdr:from>
    <xdr:to>
      <xdr:col>2</xdr:col>
      <xdr:colOff>495300</xdr:colOff>
      <xdr:row>28</xdr:row>
      <xdr:rowOff>68580</xdr:rowOff>
    </xdr:to>
    <mc:AlternateContent xmlns:mc="http://schemas.openxmlformats.org/markup-compatibility/2006">
      <mc:Choice xmlns:a14="http://schemas.microsoft.com/office/drawing/2010/main" Requires="a14">
        <xdr:graphicFrame macro="">
          <xdr:nvGraphicFramePr>
            <xdr:cNvPr id="6" name="LOCATION">
              <a:extLst>
                <a:ext uri="{FF2B5EF4-FFF2-40B4-BE49-F238E27FC236}">
                  <a16:creationId xmlns:a16="http://schemas.microsoft.com/office/drawing/2014/main" id="{3CCC0E4E-713C-80AB-F1CA-8EA5472C0C9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4300" y="746760"/>
              <a:ext cx="1203960" cy="484632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358140</xdr:colOff>
      <xdr:row>12</xdr:row>
      <xdr:rowOff>7621</xdr:rowOff>
    </xdr:from>
    <xdr:to>
      <xdr:col>17</xdr:col>
      <xdr:colOff>327660</xdr:colOff>
      <xdr:row>19</xdr:row>
      <xdr:rowOff>91441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B525708A-B846-650D-B7FA-F6EA60C756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496300" y="2606041"/>
              <a:ext cx="1798320" cy="136398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358140</xdr:colOff>
      <xdr:row>19</xdr:row>
      <xdr:rowOff>129541</xdr:rowOff>
    </xdr:from>
    <xdr:to>
      <xdr:col>17</xdr:col>
      <xdr:colOff>327660</xdr:colOff>
      <xdr:row>25</xdr:row>
      <xdr:rowOff>175261</xdr:rowOff>
    </xdr:to>
    <mc:AlternateContent xmlns:mc="http://schemas.openxmlformats.org/markup-compatibility/2006">
      <mc:Choice xmlns:a14="http://schemas.microsoft.com/office/drawing/2010/main" Requires="a14">
        <xdr:graphicFrame macro="">
          <xdr:nvGraphicFramePr>
            <xdr:cNvPr id="8" name="TERRITORY">
              <a:extLst>
                <a:ext uri="{FF2B5EF4-FFF2-40B4-BE49-F238E27FC236}">
                  <a16:creationId xmlns:a16="http://schemas.microsoft.com/office/drawing/2014/main" id="{E0DAC3C6-BBF0-E553-7D1A-AAAB5730151C}"/>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dr:sp macro="" textlink="">
          <xdr:nvSpPr>
            <xdr:cNvPr id="0" name=""/>
            <xdr:cNvSpPr>
              <a:spLocks noTextEdit="1"/>
            </xdr:cNvSpPr>
          </xdr:nvSpPr>
          <xdr:spPr>
            <a:xfrm>
              <a:off x="8496300" y="4008121"/>
              <a:ext cx="1798320" cy="1143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358140</xdr:colOff>
      <xdr:row>2</xdr:row>
      <xdr:rowOff>83821</xdr:rowOff>
    </xdr:from>
    <xdr:to>
      <xdr:col>17</xdr:col>
      <xdr:colOff>358140</xdr:colOff>
      <xdr:row>11</xdr:row>
      <xdr:rowOff>129541</xdr:rowOff>
    </xdr:to>
    <mc:AlternateContent xmlns:mc="http://schemas.openxmlformats.org/markup-compatibility/2006">
      <mc:Choice xmlns:a14="http://schemas.microsoft.com/office/drawing/2010/main" Requires="a14">
        <xdr:graphicFrame macro="">
          <xdr:nvGraphicFramePr>
            <xdr:cNvPr id="14" name="Product">
              <a:extLst>
                <a:ext uri="{FF2B5EF4-FFF2-40B4-BE49-F238E27FC236}">
                  <a16:creationId xmlns:a16="http://schemas.microsoft.com/office/drawing/2014/main" id="{531C792F-A247-3E77-3BDE-F9A27C36DD3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496300" y="853441"/>
              <a:ext cx="1828800" cy="16916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nest Moyo" refreshedDate="45997.521906712966" createdVersion="8" refreshedVersion="8" minRefreshableVersion="3" recordCount="427" xr:uid="{FC6E1BB2-2D5C-4C60-B0DE-8BC3A1D411A6}">
  <cacheSource type="worksheet">
    <worksheetSource name="Table1"/>
  </cacheSource>
  <cacheFields count="9">
    <cacheField name="NS" numFmtId="0">
      <sharedItems containsSemiMixedTypes="0" containsString="0" containsNumber="1" containsInteger="1" minValue="1" maxValue="427"/>
    </cacheField>
    <cacheField name="CLIENT NAME" numFmtId="0">
      <sharedItems/>
    </cacheField>
    <cacheField name="LOCATION" numFmtId="0">
      <sharedItems count="38">
        <s v="Mazizini"/>
        <s v="Moshi Baa"/>
        <s v="Ilala"/>
        <s v="Yombo kwa Ali Mboa"/>
        <s v="Yombo Kwa Ali Mboa "/>
        <s v="Kibaha kwa Mathias "/>
        <s v="Kibaha kwa Mathias"/>
        <s v="Tabata"/>
        <s v="Kawe"/>
        <s v="Kibaha"/>
        <s v="Majohe"/>
        <s v="Majohe "/>
        <s v="Kigamboni"/>
        <s v="Kimbiji"/>
        <s v="Yombo"/>
        <s v="Mbezi Beach "/>
        <s v="Buza "/>
        <s v="Mongo la Ndege"/>
        <s v="Mtoni"/>
        <s v="TANGA TOWN"/>
        <s v="TANGA TOWN "/>
        <s v="TANGA  TOWN "/>
        <s v="Tanga "/>
        <s v="KANGE"/>
        <s v="PONGWE"/>
        <s v="MUHEZA"/>
        <s v="MUHEZA "/>
        <s v="Korogwe "/>
        <s v="Korogwe"/>
        <s v="MOMBO "/>
        <s v="MOMBO"/>
        <s v="HANDENI"/>
        <s v="HANDENI - MSAJE"/>
        <s v="HANDENI - KAN'GATA"/>
        <s v="HANDENI - MADEBE"/>
        <s v="HANDENI - KWAMAGOME"/>
        <s v="HANDENI - KIDEREKO"/>
        <s v="HANDENI - KIBAONI"/>
      </sharedItems>
    </cacheField>
    <cacheField name="CONTACT" numFmtId="0">
      <sharedItems containsBlank="1"/>
    </cacheField>
    <cacheField name="CATEGORY" numFmtId="0">
      <sharedItems count="4">
        <s v="Ph"/>
        <s v="DLDM"/>
        <s v="Shop"/>
        <s v="supermarket"/>
      </sharedItems>
    </cacheField>
    <cacheField name="TERRITORY" numFmtId="0">
      <sharedItems count="2">
        <s v="DSM"/>
        <s v="Tanga"/>
      </sharedItems>
    </cacheField>
    <cacheField name="Product" numFmtId="0">
      <sharedItems count="5">
        <s v="Action"/>
        <s v="GMLT"/>
        <s v="GMCT"/>
        <s v="WWGW"/>
        <s v="BTZ"/>
      </sharedItems>
    </cacheField>
    <cacheField name="Units" numFmtId="0">
      <sharedItems containsSemiMixedTypes="0" containsString="0" containsNumber="1" containsInteger="1" minValue="101" maxValue="996"/>
    </cacheField>
    <cacheField name="Aount" numFmtId="0">
      <sharedItems containsNonDate="0" containsString="0" containsBlank="1"/>
    </cacheField>
  </cacheFields>
  <extLst>
    <ext xmlns:x14="http://schemas.microsoft.com/office/spreadsheetml/2009/9/main" uri="{725AE2AE-9491-48be-B2B4-4EB974FC3084}">
      <x14:pivotCacheDefinition pivotCacheId="1403994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7">
  <r>
    <n v="1"/>
    <s v="Clinical Ph "/>
    <x v="0"/>
    <s v="0689 016 951"/>
    <x v="0"/>
    <x v="0"/>
    <x v="0"/>
    <n v="812"/>
    <m/>
  </r>
  <r>
    <n v="2"/>
    <s v="Chibo DLDM"/>
    <x v="0"/>
    <s v="0787 115 965"/>
    <x v="1"/>
    <x v="0"/>
    <x v="1"/>
    <n v="520"/>
    <m/>
  </r>
  <r>
    <n v="3"/>
    <s v="Dremlife Ph"/>
    <x v="0"/>
    <s v="0675 581 841"/>
    <x v="0"/>
    <x v="0"/>
    <x v="2"/>
    <n v="282"/>
    <m/>
  </r>
  <r>
    <n v="4"/>
    <s v="Tili Medics "/>
    <x v="1"/>
    <s v="0767 022 854"/>
    <x v="0"/>
    <x v="0"/>
    <x v="3"/>
    <n v="602"/>
    <m/>
  </r>
  <r>
    <n v="5"/>
    <s v="Gaza Ph"/>
    <x v="1"/>
    <s v="0757 788 923"/>
    <x v="0"/>
    <x v="0"/>
    <x v="4"/>
    <n v="528"/>
    <m/>
  </r>
  <r>
    <n v="6"/>
    <s v="Silai Shop"/>
    <x v="1"/>
    <s v="0625 187 271"/>
    <x v="2"/>
    <x v="0"/>
    <x v="0"/>
    <n v="473"/>
    <m/>
  </r>
  <r>
    <n v="7"/>
    <s v="Mkolemba "/>
    <x v="1"/>
    <s v="0625 286 007"/>
    <x v="2"/>
    <x v="0"/>
    <x v="1"/>
    <n v="244"/>
    <m/>
  </r>
  <r>
    <n v="8"/>
    <s v="Big Shop"/>
    <x v="1"/>
    <s v="0683 234 904"/>
    <x v="2"/>
    <x v="0"/>
    <x v="2"/>
    <n v="760"/>
    <m/>
  </r>
  <r>
    <n v="9"/>
    <s v="Pac Ph"/>
    <x v="1"/>
    <s v="0715 490 488"/>
    <x v="0"/>
    <x v="0"/>
    <x v="3"/>
    <n v="425"/>
    <m/>
  </r>
  <r>
    <n v="10"/>
    <s v="Msofe Shop "/>
    <x v="1"/>
    <s v="0678 192 726"/>
    <x v="2"/>
    <x v="0"/>
    <x v="4"/>
    <n v="645"/>
    <m/>
  </r>
  <r>
    <n v="11"/>
    <s v="Edward Shop "/>
    <x v="1"/>
    <s v="0756 560 499"/>
    <x v="2"/>
    <x v="0"/>
    <x v="0"/>
    <n v="419"/>
    <m/>
  </r>
  <r>
    <n v="12"/>
    <s v="Damas Shop"/>
    <x v="1"/>
    <s v="0715 265 728"/>
    <x v="2"/>
    <x v="0"/>
    <x v="1"/>
    <n v="358"/>
    <m/>
  </r>
  <r>
    <n v="13"/>
    <s v="Ushaki Shop"/>
    <x v="1"/>
    <s v="0745 335 652"/>
    <x v="2"/>
    <x v="0"/>
    <x v="2"/>
    <n v="722"/>
    <m/>
  </r>
  <r>
    <n v="14"/>
    <s v="Relini Shop"/>
    <x v="1"/>
    <s v="0659 613 607"/>
    <x v="2"/>
    <x v="0"/>
    <x v="3"/>
    <n v="421"/>
    <m/>
  </r>
  <r>
    <n v="15"/>
    <s v="Wida Ph"/>
    <x v="1"/>
    <s v="0623 333 322"/>
    <x v="0"/>
    <x v="0"/>
    <x v="4"/>
    <n v="164"/>
    <m/>
  </r>
  <r>
    <n v="16"/>
    <s v="Relini Ph "/>
    <x v="1"/>
    <s v="0719 391 681"/>
    <x v="0"/>
    <x v="0"/>
    <x v="0"/>
    <n v="864"/>
    <m/>
  </r>
  <r>
    <n v="17"/>
    <s v="Hilyan Ph "/>
    <x v="2"/>
    <s v="0788 456 137"/>
    <x v="0"/>
    <x v="0"/>
    <x v="1"/>
    <n v="448"/>
    <m/>
  </r>
  <r>
    <n v="18"/>
    <s v="Shaboca Ph "/>
    <x v="2"/>
    <s v="0678 921 193"/>
    <x v="0"/>
    <x v="0"/>
    <x v="2"/>
    <n v="163"/>
    <m/>
  </r>
  <r>
    <n v="19"/>
    <s v="Ilala Boma Ph "/>
    <x v="2"/>
    <s v="0713 488 400"/>
    <x v="0"/>
    <x v="0"/>
    <x v="3"/>
    <n v="574"/>
    <m/>
  </r>
  <r>
    <n v="20"/>
    <s v="Kimaro Shop"/>
    <x v="2"/>
    <s v="0753 650 454"/>
    <x v="2"/>
    <x v="0"/>
    <x v="4"/>
    <n v="512"/>
    <m/>
  </r>
  <r>
    <n v="21"/>
    <s v="Hellen And Sons "/>
    <x v="2"/>
    <s v="0788 300 850"/>
    <x v="0"/>
    <x v="0"/>
    <x v="0"/>
    <n v="338"/>
    <m/>
  </r>
  <r>
    <n v="22"/>
    <s v="Surash Ph "/>
    <x v="2"/>
    <s v="0782 566 574"/>
    <x v="0"/>
    <x v="0"/>
    <x v="1"/>
    <n v="794"/>
    <m/>
  </r>
  <r>
    <n v="23"/>
    <s v="Hamsa Ph "/>
    <x v="2"/>
    <s v="0687 525 187"/>
    <x v="0"/>
    <x v="0"/>
    <x v="2"/>
    <n v="387"/>
    <m/>
  </r>
  <r>
    <n v="24"/>
    <s v="Mangi Shop"/>
    <x v="2"/>
    <s v="0714 726 807"/>
    <x v="2"/>
    <x v="0"/>
    <x v="3"/>
    <n v="986"/>
    <m/>
  </r>
  <r>
    <n v="25"/>
    <s v="Mwanacoco Ph "/>
    <x v="2"/>
    <s v="0754 024 725"/>
    <x v="0"/>
    <x v="0"/>
    <x v="4"/>
    <n v="370"/>
    <m/>
  </r>
  <r>
    <n v="26"/>
    <s v="Mac Ph "/>
    <x v="3"/>
    <s v="0621 179 925"/>
    <x v="0"/>
    <x v="0"/>
    <x v="0"/>
    <n v="834"/>
    <m/>
  </r>
  <r>
    <n v="27"/>
    <s v="Amour DLDM"/>
    <x v="4"/>
    <s v="0620 117 430"/>
    <x v="1"/>
    <x v="0"/>
    <x v="1"/>
    <n v="976"/>
    <m/>
  </r>
  <r>
    <n v="28"/>
    <s v="Ummy DLDM "/>
    <x v="5"/>
    <s v="0747 571 445"/>
    <x v="1"/>
    <x v="0"/>
    <x v="2"/>
    <n v="405"/>
    <m/>
  </r>
  <r>
    <n v="29"/>
    <s v="Haki Ph"/>
    <x v="5"/>
    <s v="0748 375 891 "/>
    <x v="0"/>
    <x v="0"/>
    <x v="3"/>
    <n v="465"/>
    <m/>
  </r>
  <r>
    <n v="30"/>
    <s v="Carissa DLDM "/>
    <x v="6"/>
    <s v="0752 981 308"/>
    <x v="1"/>
    <x v="0"/>
    <x v="4"/>
    <n v="201"/>
    <m/>
  </r>
  <r>
    <n v="31"/>
    <s v="Ramla Ph"/>
    <x v="7"/>
    <s v="0679 500 716"/>
    <x v="0"/>
    <x v="0"/>
    <x v="0"/>
    <n v="576"/>
    <m/>
  </r>
  <r>
    <n v="32"/>
    <s v="JM Ph"/>
    <x v="7"/>
    <s v="0764 277 775"/>
    <x v="0"/>
    <x v="0"/>
    <x v="1"/>
    <n v="670"/>
    <m/>
  </r>
  <r>
    <n v="33"/>
    <s v="Dot Ph"/>
    <x v="7"/>
    <s v="0692 074 808"/>
    <x v="0"/>
    <x v="0"/>
    <x v="2"/>
    <n v="531"/>
    <m/>
  </r>
  <r>
    <n v="34"/>
    <s v="Yopresinta Ph "/>
    <x v="7"/>
    <s v="0745 256 006"/>
    <x v="0"/>
    <x v="0"/>
    <x v="3"/>
    <n v="604"/>
    <m/>
  </r>
  <r>
    <n v="35"/>
    <s v="Aiken Ph "/>
    <x v="8"/>
    <s v="0766 712 716"/>
    <x v="0"/>
    <x v="0"/>
    <x v="4"/>
    <n v="792"/>
    <m/>
  </r>
  <r>
    <n v="36"/>
    <s v="Corner care Ph "/>
    <x v="8"/>
    <s v="0752 029 187"/>
    <x v="0"/>
    <x v="0"/>
    <x v="0"/>
    <n v="249"/>
    <m/>
  </r>
  <r>
    <n v="37"/>
    <s v="Duka jipya Shop "/>
    <x v="8"/>
    <s v="+255 787 328 232"/>
    <x v="1"/>
    <x v="0"/>
    <x v="1"/>
    <n v="683"/>
    <m/>
  </r>
  <r>
    <n v="38"/>
    <s v="Heilen Ph "/>
    <x v="8"/>
    <s v="0713 463 828"/>
    <x v="0"/>
    <x v="0"/>
    <x v="2"/>
    <n v="733"/>
    <m/>
  </r>
  <r>
    <n v="39"/>
    <s v="Kawe Ph "/>
    <x v="8"/>
    <s v="0658 046 505"/>
    <x v="0"/>
    <x v="0"/>
    <x v="3"/>
    <n v="534"/>
    <m/>
  </r>
  <r>
    <n v="40"/>
    <s v="Nebi Ph "/>
    <x v="8"/>
    <s v="0743 118 547"/>
    <x v="0"/>
    <x v="0"/>
    <x v="4"/>
    <n v="333"/>
    <m/>
  </r>
  <r>
    <n v="41"/>
    <s v="Manka Shop"/>
    <x v="8"/>
    <s v="0674 687 877"/>
    <x v="2"/>
    <x v="0"/>
    <x v="0"/>
    <n v="169"/>
    <m/>
  </r>
  <r>
    <n v="42"/>
    <s v="Mbwana Ph "/>
    <x v="8"/>
    <s v="0756 318 512"/>
    <x v="0"/>
    <x v="0"/>
    <x v="1"/>
    <n v="667"/>
    <m/>
  </r>
  <r>
    <n v="43"/>
    <s v="Ukwamani Ph "/>
    <x v="8"/>
    <s v="0676 782 267"/>
    <x v="0"/>
    <x v="0"/>
    <x v="2"/>
    <n v="963"/>
    <m/>
  </r>
  <r>
    <n v="44"/>
    <s v="Wema Ph "/>
    <x v="8"/>
    <s v="+255 620 225 811"/>
    <x v="0"/>
    <x v="0"/>
    <x v="3"/>
    <n v="561"/>
    <m/>
  </r>
  <r>
    <n v="45"/>
    <s v="Mdee Shop "/>
    <x v="9"/>
    <s v="0784 381 922"/>
    <x v="2"/>
    <x v="0"/>
    <x v="4"/>
    <n v="215"/>
    <m/>
  </r>
  <r>
    <n v="46"/>
    <s v="Mwembeni Shop"/>
    <x v="9"/>
    <s v="0762 820 113"/>
    <x v="2"/>
    <x v="0"/>
    <x v="0"/>
    <n v="258"/>
    <m/>
  </r>
  <r>
    <n v="47"/>
    <s v="Tunajali Disp "/>
    <x v="9"/>
    <s v="0621 247 015"/>
    <x v="0"/>
    <x v="0"/>
    <x v="1"/>
    <n v="980"/>
    <m/>
  </r>
  <r>
    <n v="48"/>
    <s v="Emayan Ph"/>
    <x v="9"/>
    <s v="0745 896 047"/>
    <x v="0"/>
    <x v="0"/>
    <x v="2"/>
    <n v="404"/>
    <m/>
  </r>
  <r>
    <n v="49"/>
    <s v="Bule Ph "/>
    <x v="9"/>
    <s v="0753 251 897"/>
    <x v="0"/>
    <x v="0"/>
    <x v="3"/>
    <n v="694"/>
    <m/>
  </r>
  <r>
    <n v="50"/>
    <s v="Noella Ph "/>
    <x v="9"/>
    <s v="0757 016 040"/>
    <x v="0"/>
    <x v="0"/>
    <x v="4"/>
    <n v="240"/>
    <m/>
  </r>
  <r>
    <n v="51"/>
    <s v="Amani Ph"/>
    <x v="9"/>
    <s v="0782 119 274"/>
    <x v="0"/>
    <x v="0"/>
    <x v="0"/>
    <n v="443"/>
    <m/>
  </r>
  <r>
    <n v="52"/>
    <s v="Yuster DLDM"/>
    <x v="9"/>
    <s v="0678 044 149"/>
    <x v="1"/>
    <x v="0"/>
    <x v="1"/>
    <n v="264"/>
    <m/>
  </r>
  <r>
    <n v="53"/>
    <s v="Eliza Shop"/>
    <x v="9"/>
    <s v="0684 988 888"/>
    <x v="2"/>
    <x v="0"/>
    <x v="2"/>
    <n v="993"/>
    <m/>
  </r>
  <r>
    <n v="54"/>
    <s v="Joel Shop"/>
    <x v="9"/>
    <s v="0765 112 036"/>
    <x v="2"/>
    <x v="0"/>
    <x v="3"/>
    <n v="332"/>
    <m/>
  </r>
  <r>
    <n v="55"/>
    <s v="Mama Adrian Shop "/>
    <x v="9"/>
    <s v="0718 207 869"/>
    <x v="2"/>
    <x v="0"/>
    <x v="4"/>
    <n v="589"/>
    <m/>
  </r>
  <r>
    <n v="56"/>
    <s v="Mpemba Shop"/>
    <x v="9"/>
    <s v="0716 067 028"/>
    <x v="2"/>
    <x v="0"/>
    <x v="0"/>
    <n v="316"/>
    <m/>
  </r>
  <r>
    <n v="57"/>
    <s v="Mlezi DLDM"/>
    <x v="10"/>
    <s v="0657 562 841"/>
    <x v="1"/>
    <x v="0"/>
    <x v="1"/>
    <n v="545"/>
    <m/>
  </r>
  <r>
    <n v="58"/>
    <s v="Nanginyii Medics "/>
    <x v="11"/>
    <s v="0621 131 337"/>
    <x v="0"/>
    <x v="0"/>
    <x v="2"/>
    <n v="285"/>
    <m/>
  </r>
  <r>
    <n v="59"/>
    <s v="Lisa Medics "/>
    <x v="11"/>
    <s v="0746 232 436"/>
    <x v="0"/>
    <x v="0"/>
    <x v="3"/>
    <n v="602"/>
    <m/>
  </r>
  <r>
    <n v="60"/>
    <s v="Whit Shop"/>
    <x v="10"/>
    <s v="0689 211 281"/>
    <x v="2"/>
    <x v="0"/>
    <x v="4"/>
    <n v="211"/>
    <m/>
  </r>
  <r>
    <n v="61"/>
    <s v="Albert Shop"/>
    <x v="11"/>
    <s v="0753 426 847"/>
    <x v="2"/>
    <x v="0"/>
    <x v="0"/>
    <n v="405"/>
    <m/>
  </r>
  <r>
    <n v="62"/>
    <s v="Jmo Medics "/>
    <x v="10"/>
    <s v="0769 852 104"/>
    <x v="0"/>
    <x v="0"/>
    <x v="1"/>
    <n v="631"/>
    <m/>
  </r>
  <r>
    <n v="63"/>
    <s v="Jose Shop"/>
    <x v="11"/>
    <s v="0758 268 989"/>
    <x v="2"/>
    <x v="0"/>
    <x v="2"/>
    <n v="414"/>
    <m/>
  </r>
  <r>
    <n v="64"/>
    <s v="Upendo DLDM "/>
    <x v="11"/>
    <s v="0652 764 252"/>
    <x v="1"/>
    <x v="0"/>
    <x v="3"/>
    <n v="356"/>
    <m/>
  </r>
  <r>
    <n v="65"/>
    <s v="Makoba Store "/>
    <x v="11"/>
    <s v="0766 224 444"/>
    <x v="0"/>
    <x v="0"/>
    <x v="4"/>
    <n v="226"/>
    <m/>
  </r>
  <r>
    <n v="66"/>
    <s v="Matinde DLDM"/>
    <x v="11"/>
    <s v="0656 155 288"/>
    <x v="1"/>
    <x v="0"/>
    <x v="0"/>
    <n v="451"/>
    <m/>
  </r>
  <r>
    <n v="67"/>
    <s v="Michael Shop"/>
    <x v="11"/>
    <s v="0716 136 474"/>
    <x v="2"/>
    <x v="0"/>
    <x v="1"/>
    <n v="219"/>
    <m/>
  </r>
  <r>
    <n v="68"/>
    <s v="Ushaki Shop"/>
    <x v="11"/>
    <s v="0710 071 372"/>
    <x v="2"/>
    <x v="0"/>
    <x v="2"/>
    <n v="746"/>
    <m/>
  </r>
  <r>
    <n v="69"/>
    <s v="Bariki Ph "/>
    <x v="12"/>
    <s v="0693 985 330"/>
    <x v="0"/>
    <x v="0"/>
    <x v="3"/>
    <n v="188"/>
    <m/>
  </r>
  <r>
    <n v="70"/>
    <s v="Mama wawili Shop"/>
    <x v="13"/>
    <s v="0652 545 854"/>
    <x v="2"/>
    <x v="0"/>
    <x v="4"/>
    <n v="694"/>
    <m/>
  </r>
  <r>
    <n v="71"/>
    <s v="Amani DLDM "/>
    <x v="13"/>
    <s v="0765 503 796"/>
    <x v="1"/>
    <x v="0"/>
    <x v="0"/>
    <n v="963"/>
    <m/>
  </r>
  <r>
    <n v="72"/>
    <s v="Mango Shop"/>
    <x v="13"/>
    <s v="0689 199 096"/>
    <x v="2"/>
    <x v="0"/>
    <x v="1"/>
    <n v="792"/>
    <m/>
  </r>
  <r>
    <n v="73"/>
    <s v="Bongo Shop"/>
    <x v="13"/>
    <s v="0715 265 647"/>
    <x v="2"/>
    <x v="0"/>
    <x v="2"/>
    <n v="527"/>
    <m/>
  </r>
  <r>
    <n v="74"/>
    <s v="Njaa Kali Shop"/>
    <x v="13"/>
    <s v="0789 434 380"/>
    <x v="2"/>
    <x v="0"/>
    <x v="3"/>
    <n v="282"/>
    <m/>
  </r>
  <r>
    <n v="75"/>
    <s v="Isa Shop "/>
    <x v="13"/>
    <s v="0652 953 880"/>
    <x v="2"/>
    <x v="0"/>
    <x v="4"/>
    <n v="774"/>
    <m/>
  </r>
  <r>
    <n v="76"/>
    <s v="Hopek Ph "/>
    <x v="13"/>
    <s v="0612 299 529"/>
    <x v="0"/>
    <x v="0"/>
    <x v="0"/>
    <n v="540"/>
    <m/>
  </r>
  <r>
    <n v="77"/>
    <s v="Sali DLDM "/>
    <x v="14"/>
    <s v="0682 659 994"/>
    <x v="1"/>
    <x v="0"/>
    <x v="1"/>
    <n v="169"/>
    <m/>
  </r>
  <r>
    <n v="78"/>
    <s v="JDM Ph "/>
    <x v="14"/>
    <s v="0658 144 667"/>
    <x v="0"/>
    <x v="0"/>
    <x v="2"/>
    <n v="617"/>
    <m/>
  </r>
  <r>
    <n v="79"/>
    <s v="Abba Medics "/>
    <x v="14"/>
    <s v="0744 482 464"/>
    <x v="0"/>
    <x v="0"/>
    <x v="3"/>
    <n v="298"/>
    <m/>
  </r>
  <r>
    <n v="80"/>
    <s v="Relini DLDM "/>
    <x v="14"/>
    <s v="0685 294 698"/>
    <x v="1"/>
    <x v="0"/>
    <x v="4"/>
    <n v="546"/>
    <m/>
  </r>
  <r>
    <n v="81"/>
    <s v="Arafa DLDM "/>
    <x v="14"/>
    <s v="0785 344 660"/>
    <x v="1"/>
    <x v="0"/>
    <x v="0"/>
    <n v="389"/>
    <m/>
  </r>
  <r>
    <n v="82"/>
    <s v="Mduma Shop"/>
    <x v="14"/>
    <s v="0788 680 010"/>
    <x v="2"/>
    <x v="0"/>
    <x v="1"/>
    <n v="458"/>
    <m/>
  </r>
  <r>
    <n v="83"/>
    <s v="Yombo DLDM "/>
    <x v="14"/>
    <s v="0687 838 387"/>
    <x v="1"/>
    <x v="0"/>
    <x v="2"/>
    <n v="456"/>
    <m/>
  </r>
  <r>
    <n v="84"/>
    <s v="Litonya Ph"/>
    <x v="14"/>
    <s v="0757 075 961"/>
    <x v="0"/>
    <x v="0"/>
    <x v="3"/>
    <n v="653"/>
    <m/>
  </r>
  <r>
    <n v="85"/>
    <s v="Ndesa Shop"/>
    <x v="14"/>
    <s v="0716 081 012"/>
    <x v="2"/>
    <x v="0"/>
    <x v="4"/>
    <n v="725"/>
    <m/>
  </r>
  <r>
    <n v="86"/>
    <s v="Tanzanite Medics "/>
    <x v="14"/>
    <s v="0699 361 837"/>
    <x v="0"/>
    <x v="0"/>
    <x v="0"/>
    <n v="980"/>
    <m/>
  </r>
  <r>
    <n v="87"/>
    <s v="Lizzy Ph"/>
    <x v="14"/>
    <s v="0767 513 347"/>
    <x v="0"/>
    <x v="0"/>
    <x v="1"/>
    <n v="184"/>
    <m/>
  </r>
  <r>
    <n v="88"/>
    <s v="Afri King DLDM"/>
    <x v="14"/>
    <s v="0712 272 037"/>
    <x v="1"/>
    <x v="0"/>
    <x v="2"/>
    <n v="584"/>
    <m/>
  </r>
  <r>
    <n v="89"/>
    <s v="Chama DLDM "/>
    <x v="14"/>
    <s v="0686 257 008"/>
    <x v="1"/>
    <x v="0"/>
    <x v="3"/>
    <n v="350"/>
    <m/>
  </r>
  <r>
    <n v="90"/>
    <s v="Aziza Shop"/>
    <x v="14"/>
    <s v="0718 295 882"/>
    <x v="2"/>
    <x v="0"/>
    <x v="4"/>
    <n v="878"/>
    <m/>
  </r>
  <r>
    <n v="91"/>
    <s v="Fred Shop"/>
    <x v="14"/>
    <s v="0652 147 540"/>
    <x v="2"/>
    <x v="0"/>
    <x v="0"/>
    <n v="937"/>
    <m/>
  </r>
  <r>
    <n v="92"/>
    <s v="Mwemba DLDM "/>
    <x v="14"/>
    <s v="0623 353 479 "/>
    <x v="1"/>
    <x v="0"/>
    <x v="1"/>
    <n v="846"/>
    <m/>
  </r>
  <r>
    <n v="93"/>
    <s v="Prosper Shop"/>
    <x v="14"/>
    <s v="0674 349 848"/>
    <x v="2"/>
    <x v="0"/>
    <x v="2"/>
    <n v="750"/>
    <m/>
  </r>
  <r>
    <n v="94"/>
    <s v="Brk Ph "/>
    <x v="14"/>
    <s v="0717 437 719"/>
    <x v="0"/>
    <x v="0"/>
    <x v="3"/>
    <n v="995"/>
    <m/>
  </r>
  <r>
    <n v="95"/>
    <s v="Mape DLDM "/>
    <x v="14"/>
    <s v="0719 841 045"/>
    <x v="1"/>
    <x v="0"/>
    <x v="4"/>
    <n v="510"/>
    <m/>
  </r>
  <r>
    <n v="96"/>
    <s v="Neema DLDM "/>
    <x v="14"/>
    <s v="0656 230 144"/>
    <x v="1"/>
    <x v="0"/>
    <x v="0"/>
    <n v="902"/>
    <m/>
  </r>
  <r>
    <n v="97"/>
    <s v="Joyholdg Ph "/>
    <x v="14"/>
    <s v="0718 388 515"/>
    <x v="0"/>
    <x v="0"/>
    <x v="1"/>
    <n v="744"/>
    <m/>
  </r>
  <r>
    <n v="98"/>
    <s v="Imu Ph "/>
    <x v="12"/>
    <s v="0754 493 129"/>
    <x v="0"/>
    <x v="0"/>
    <x v="2"/>
    <n v="674"/>
    <m/>
  </r>
  <r>
    <n v="99"/>
    <s v="Mak J Ph "/>
    <x v="12"/>
    <s v="0786 205 019"/>
    <x v="0"/>
    <x v="0"/>
    <x v="3"/>
    <n v="417"/>
    <m/>
  </r>
  <r>
    <n v="100"/>
    <s v="Mak J Poly clinic "/>
    <x v="12"/>
    <s v="0653 900 300"/>
    <x v="0"/>
    <x v="0"/>
    <x v="4"/>
    <n v="903"/>
    <m/>
  </r>
  <r>
    <n v="101"/>
    <s v="Qualitas Ph "/>
    <x v="12"/>
    <s v="0673 828 028"/>
    <x v="0"/>
    <x v="0"/>
    <x v="0"/>
    <n v="654"/>
    <m/>
  </r>
  <r>
    <n v="102"/>
    <s v="Rahmad Shop"/>
    <x v="12"/>
    <s v="0716 405 508"/>
    <x v="2"/>
    <x v="0"/>
    <x v="1"/>
    <n v="117"/>
    <m/>
  </r>
  <r>
    <n v="103"/>
    <s v="Green Apple Ph "/>
    <x v="12"/>
    <s v="0682 985 442"/>
    <x v="0"/>
    <x v="0"/>
    <x v="2"/>
    <n v="734"/>
    <m/>
  </r>
  <r>
    <n v="104"/>
    <s v="Ngollo Ph "/>
    <x v="12"/>
    <s v="0710 577 611"/>
    <x v="0"/>
    <x v="0"/>
    <x v="3"/>
    <n v="166"/>
    <m/>
  </r>
  <r>
    <n v="105"/>
    <s v="Qualitas  P.C "/>
    <x v="12"/>
    <s v="0673 828 028"/>
    <x v="0"/>
    <x v="0"/>
    <x v="4"/>
    <n v="181"/>
    <m/>
  </r>
  <r>
    <n v="106"/>
    <s v="Ngollo Ph "/>
    <x v="12"/>
    <s v="0710 577 611"/>
    <x v="0"/>
    <x v="0"/>
    <x v="0"/>
    <n v="932"/>
    <m/>
  </r>
  <r>
    <n v="107"/>
    <s v="Mangi shop "/>
    <x v="12"/>
    <s v="0656 729 767"/>
    <x v="2"/>
    <x v="0"/>
    <x v="1"/>
    <n v="830"/>
    <m/>
  </r>
  <r>
    <n v="108"/>
    <s v="Mtumishi Shop "/>
    <x v="12"/>
    <s v="0692 145 510"/>
    <x v="2"/>
    <x v="0"/>
    <x v="2"/>
    <n v="973"/>
    <m/>
  </r>
  <r>
    <n v="109"/>
    <s v="Sharif Shop "/>
    <x v="12"/>
    <s v="0676 390 390"/>
    <x v="2"/>
    <x v="0"/>
    <x v="3"/>
    <n v="107"/>
    <m/>
  </r>
  <r>
    <n v="110"/>
    <s v="Karen Shop "/>
    <x v="12"/>
    <s v="0757 722 844"/>
    <x v="2"/>
    <x v="0"/>
    <x v="4"/>
    <n v="683"/>
    <m/>
  </r>
  <r>
    <n v="111"/>
    <s v="Mwamwezi DLDM "/>
    <x v="12"/>
    <s v="0682 143 430"/>
    <x v="1"/>
    <x v="0"/>
    <x v="0"/>
    <n v="175"/>
    <m/>
  </r>
  <r>
    <n v="112"/>
    <s v="ABC Ph "/>
    <x v="12"/>
    <s v="0784 172 122"/>
    <x v="0"/>
    <x v="0"/>
    <x v="1"/>
    <n v="465"/>
    <m/>
  </r>
  <r>
    <n v="113"/>
    <s v="Beka DLDM "/>
    <x v="12"/>
    <s v="0678 112 628"/>
    <x v="1"/>
    <x v="0"/>
    <x v="2"/>
    <n v="955"/>
    <m/>
  </r>
  <r>
    <n v="114"/>
    <s v="Purecare Ph "/>
    <x v="15"/>
    <s v="0787 304 546"/>
    <x v="0"/>
    <x v="0"/>
    <x v="3"/>
    <n v="337"/>
    <m/>
  </r>
  <r>
    <n v="115"/>
    <s v="Safe Hand Ph "/>
    <x v="15"/>
    <s v="0767 199 427"/>
    <x v="0"/>
    <x v="0"/>
    <x v="4"/>
    <n v="538"/>
    <m/>
  </r>
  <r>
    <n v="116"/>
    <s v="Luta Shop"/>
    <x v="15"/>
    <s v="0764 839 144"/>
    <x v="2"/>
    <x v="0"/>
    <x v="0"/>
    <n v="956"/>
    <m/>
  </r>
  <r>
    <n v="117"/>
    <s v="Kichonge DLDM"/>
    <x v="15"/>
    <s v="0716 755 545"/>
    <x v="1"/>
    <x v="0"/>
    <x v="1"/>
    <n v="899"/>
    <m/>
  </r>
  <r>
    <n v="118"/>
    <s v="Calvary Ph "/>
    <x v="15"/>
    <s v="0715 593 183"/>
    <x v="0"/>
    <x v="0"/>
    <x v="2"/>
    <n v="669"/>
    <m/>
  </r>
  <r>
    <n v="119"/>
    <s v="Triple N Ph "/>
    <x v="15"/>
    <s v="0621 420 023"/>
    <x v="0"/>
    <x v="0"/>
    <x v="3"/>
    <n v="569"/>
    <m/>
  </r>
  <r>
    <n v="120"/>
    <s v="Medicus Ph "/>
    <x v="15"/>
    <s v="0629 889 824"/>
    <x v="0"/>
    <x v="0"/>
    <x v="4"/>
    <n v="510"/>
    <m/>
  </r>
  <r>
    <n v="121"/>
    <s v="NB Ph "/>
    <x v="15"/>
    <s v="0689 838 613"/>
    <x v="0"/>
    <x v="0"/>
    <x v="0"/>
    <n v="897"/>
    <m/>
  </r>
  <r>
    <n v="122"/>
    <s v="All Night Ph "/>
    <x v="15"/>
    <s v="0717 232 121"/>
    <x v="0"/>
    <x v="0"/>
    <x v="1"/>
    <n v="152"/>
    <m/>
  </r>
  <r>
    <n v="123"/>
    <s v="Kemil Ph "/>
    <x v="15"/>
    <s v="0656 776 801"/>
    <x v="0"/>
    <x v="0"/>
    <x v="2"/>
    <n v="240"/>
    <m/>
  </r>
  <r>
    <n v="124"/>
    <s v="Ovinn Ph "/>
    <x v="15"/>
    <s v="0718 860 300"/>
    <x v="0"/>
    <x v="0"/>
    <x v="3"/>
    <n v="497"/>
    <m/>
  </r>
  <r>
    <n v="125"/>
    <s v="Sharleen's Ph "/>
    <x v="15"/>
    <s v="0765 577 406"/>
    <x v="0"/>
    <x v="0"/>
    <x v="4"/>
    <n v="170"/>
    <m/>
  </r>
  <r>
    <n v="126"/>
    <s v="Icare Ph "/>
    <x v="15"/>
    <s v="0657 741 518"/>
    <x v="0"/>
    <x v="0"/>
    <x v="0"/>
    <n v="283"/>
    <m/>
  </r>
  <r>
    <n v="127"/>
    <s v="Plus Yes Ph "/>
    <x v="15"/>
    <s v="022 261 7931"/>
    <x v="0"/>
    <x v="0"/>
    <x v="1"/>
    <n v="573"/>
    <m/>
  </r>
  <r>
    <n v="128"/>
    <s v="Pharm Imara Ph "/>
    <x v="15"/>
    <s v="0762 333 444"/>
    <x v="0"/>
    <x v="0"/>
    <x v="2"/>
    <n v="688"/>
    <m/>
  </r>
  <r>
    <n v="129"/>
    <s v="MB Ph "/>
    <x v="15"/>
    <s v="0657 999 716"/>
    <x v="0"/>
    <x v="0"/>
    <x v="3"/>
    <n v="118"/>
    <m/>
  </r>
  <r>
    <n v="130"/>
    <s v="Warioba Ph "/>
    <x v="15"/>
    <s v="0758 343 976"/>
    <x v="0"/>
    <x v="0"/>
    <x v="4"/>
    <n v="160"/>
    <m/>
  </r>
  <r>
    <n v="131"/>
    <s v="Prosper Shop"/>
    <x v="16"/>
    <s v="0674 349 848 "/>
    <x v="2"/>
    <x v="0"/>
    <x v="0"/>
    <n v="790"/>
    <m/>
  </r>
  <r>
    <n v="132"/>
    <s v="Joyholdg Ph "/>
    <x v="16"/>
    <s v="0718 388 515"/>
    <x v="0"/>
    <x v="0"/>
    <x v="1"/>
    <n v="575"/>
    <m/>
  </r>
  <r>
    <n v="133"/>
    <s v="Kibonge Ph "/>
    <x v="16"/>
    <s v="0675 204 375"/>
    <x v="0"/>
    <x v="0"/>
    <x v="2"/>
    <n v="947"/>
    <m/>
  </r>
  <r>
    <n v="134"/>
    <s v="Joan Ph "/>
    <x v="16"/>
    <s v="0748 453 186"/>
    <x v="0"/>
    <x v="0"/>
    <x v="3"/>
    <n v="859"/>
    <m/>
  </r>
  <r>
    <n v="135"/>
    <s v="Mash Shop"/>
    <x v="16"/>
    <s v="0752 586 341"/>
    <x v="2"/>
    <x v="0"/>
    <x v="4"/>
    <n v="944"/>
    <m/>
  </r>
  <r>
    <n v="136"/>
    <s v="BRK Ph "/>
    <x v="16"/>
    <s v="0655 881 028"/>
    <x v="0"/>
    <x v="0"/>
    <x v="0"/>
    <n v="311"/>
    <m/>
  </r>
  <r>
    <n v="137"/>
    <s v="Er Medics "/>
    <x v="16"/>
    <s v="0717 437 719"/>
    <x v="0"/>
    <x v="0"/>
    <x v="1"/>
    <n v="625"/>
    <m/>
  </r>
  <r>
    <n v="138"/>
    <s v="Wiadsa DLDM "/>
    <x v="16"/>
    <s v="0626 609 407"/>
    <x v="1"/>
    <x v="0"/>
    <x v="2"/>
    <n v="376"/>
    <m/>
  </r>
  <r>
    <n v="139"/>
    <s v="Afri King Ph "/>
    <x v="16"/>
    <s v="0714 392 638"/>
    <x v="0"/>
    <x v="0"/>
    <x v="3"/>
    <n v="463"/>
    <m/>
  </r>
  <r>
    <n v="140"/>
    <s v="Khadija Ph "/>
    <x v="16"/>
    <s v="0712 321 670"/>
    <x v="0"/>
    <x v="0"/>
    <x v="4"/>
    <n v="460"/>
    <m/>
  </r>
  <r>
    <n v="141"/>
    <s v="Seif Shop"/>
    <x v="16"/>
    <s v="0614 120 102 "/>
    <x v="2"/>
    <x v="0"/>
    <x v="0"/>
    <n v="674"/>
    <m/>
  </r>
  <r>
    <n v="142"/>
    <s v="A and M DLDM "/>
    <x v="16"/>
    <s v="0685 196 363 "/>
    <x v="1"/>
    <x v="0"/>
    <x v="1"/>
    <n v="433"/>
    <m/>
  </r>
  <r>
    <n v="143"/>
    <s v="Gina Ph "/>
    <x v="16"/>
    <s v="0743 898 931 "/>
    <x v="0"/>
    <x v="0"/>
    <x v="2"/>
    <n v="760"/>
    <m/>
  </r>
  <r>
    <n v="144"/>
    <s v="Target DLDM "/>
    <x v="16"/>
    <s v="0788 895 765"/>
    <x v="1"/>
    <x v="0"/>
    <x v="3"/>
    <n v="750"/>
    <m/>
  </r>
  <r>
    <n v="145"/>
    <s v="SJK DLDM"/>
    <x v="16"/>
    <s v="0716 234 501 "/>
    <x v="1"/>
    <x v="0"/>
    <x v="4"/>
    <n v="729"/>
    <m/>
  </r>
  <r>
    <n v="146"/>
    <s v="Kate Ph "/>
    <x v="16"/>
    <s v="0697 376 183"/>
    <x v="0"/>
    <x v="0"/>
    <x v="0"/>
    <n v="313"/>
    <m/>
  </r>
  <r>
    <n v="147"/>
    <s v="Neema Shop"/>
    <x v="16"/>
    <s v="0696 087 721"/>
    <x v="2"/>
    <x v="0"/>
    <x v="1"/>
    <n v="160"/>
    <m/>
  </r>
  <r>
    <n v="148"/>
    <s v="Ramla Ph"/>
    <x v="7"/>
    <s v="0679 500 716"/>
    <x v="0"/>
    <x v="0"/>
    <x v="2"/>
    <n v="296"/>
    <m/>
  </r>
  <r>
    <n v="149"/>
    <s v="JM Ph"/>
    <x v="7"/>
    <s v="0764 277 775"/>
    <x v="0"/>
    <x v="0"/>
    <x v="3"/>
    <n v="986"/>
    <m/>
  </r>
  <r>
    <n v="150"/>
    <s v="Dot Ph"/>
    <x v="7"/>
    <s v="0692 074 808"/>
    <x v="0"/>
    <x v="0"/>
    <x v="4"/>
    <n v="275"/>
    <m/>
  </r>
  <r>
    <n v="151"/>
    <s v="Kundy Polyclinic"/>
    <x v="7"/>
    <s v="0713 247 688"/>
    <x v="0"/>
    <x v="0"/>
    <x v="0"/>
    <n v="643"/>
    <m/>
  </r>
  <r>
    <n v="152"/>
    <s v="Yopresinta Ph "/>
    <x v="7"/>
    <s v="0745 256 006"/>
    <x v="0"/>
    <x v="0"/>
    <x v="1"/>
    <n v="539"/>
    <m/>
  </r>
  <r>
    <n v="153"/>
    <s v="Doris DLDM"/>
    <x v="17"/>
    <s v="0766 402 168"/>
    <x v="1"/>
    <x v="0"/>
    <x v="2"/>
    <n v="102"/>
    <m/>
  </r>
  <r>
    <n v="154"/>
    <s v="Decent Disp"/>
    <x v="17"/>
    <s v="0763 031 340"/>
    <x v="0"/>
    <x v="0"/>
    <x v="3"/>
    <n v="685"/>
    <m/>
  </r>
  <r>
    <n v="155"/>
    <s v="God's Plan Ph "/>
    <x v="18"/>
    <s v="0656 267 818"/>
    <x v="0"/>
    <x v="0"/>
    <x v="4"/>
    <n v="365"/>
    <m/>
  </r>
  <r>
    <n v="156"/>
    <s v="Mtuc Ph"/>
    <x v="18"/>
    <s v="0689 849 014"/>
    <x v="0"/>
    <x v="0"/>
    <x v="0"/>
    <n v="712"/>
    <m/>
  </r>
  <r>
    <n v="157"/>
    <s v="Roselyn Medics "/>
    <x v="18"/>
    <s v="0654 663 788"/>
    <x v="0"/>
    <x v="0"/>
    <x v="1"/>
    <n v="154"/>
    <m/>
  </r>
  <r>
    <n v="158"/>
    <s v="Fidelis Ph"/>
    <x v="18"/>
    <s v="0756 526 316"/>
    <x v="0"/>
    <x v="0"/>
    <x v="2"/>
    <n v="275"/>
    <m/>
  </r>
  <r>
    <n v="159"/>
    <s v="Muha Shop"/>
    <x v="18"/>
    <s v="0762 157 565"/>
    <x v="2"/>
    <x v="0"/>
    <x v="3"/>
    <n v="817"/>
    <m/>
  </r>
  <r>
    <n v="160"/>
    <s v="Sokoro Shop"/>
    <x v="18"/>
    <s v="0678 808 849"/>
    <x v="2"/>
    <x v="0"/>
    <x v="4"/>
    <n v="863"/>
    <m/>
  </r>
  <r>
    <n v="161"/>
    <s v="Faraja DLDM "/>
    <x v="18"/>
    <s v="0689 644 553"/>
    <x v="1"/>
    <x v="0"/>
    <x v="0"/>
    <n v="331"/>
    <m/>
  </r>
  <r>
    <n v="162"/>
    <s v="Fantastic Shop"/>
    <x v="18"/>
    <s v="0784 754 480"/>
    <x v="2"/>
    <x v="0"/>
    <x v="1"/>
    <n v="820"/>
    <m/>
  </r>
  <r>
    <n v="163"/>
    <s v="Wastara Shop"/>
    <x v="18"/>
    <s v="0772 959 260"/>
    <x v="2"/>
    <x v="0"/>
    <x v="2"/>
    <n v="693"/>
    <m/>
  </r>
  <r>
    <n v="164"/>
    <s v="Bruno Shop"/>
    <x v="18"/>
    <s v="0624 804 766"/>
    <x v="2"/>
    <x v="0"/>
    <x v="3"/>
    <n v="185"/>
    <m/>
  </r>
  <r>
    <n v="165"/>
    <s v="NGAMIANI   PHARMACY"/>
    <x v="19"/>
    <s v="0716 069 410"/>
    <x v="0"/>
    <x v="1"/>
    <x v="4"/>
    <n v="225"/>
    <m/>
  </r>
  <r>
    <n v="166"/>
    <s v="MALAIKA   PHARMACY"/>
    <x v="19"/>
    <s v="0713 046 037"/>
    <x v="0"/>
    <x v="1"/>
    <x v="0"/>
    <n v="657"/>
    <m/>
  </r>
  <r>
    <n v="167"/>
    <s v="JERRY   PHARMACY"/>
    <x v="19"/>
    <s v="0714 545 642"/>
    <x v="0"/>
    <x v="1"/>
    <x v="1"/>
    <n v="176"/>
    <m/>
  </r>
  <r>
    <n v="168"/>
    <s v="PELA PHARMACY"/>
    <x v="19"/>
    <s v="0672 059 633"/>
    <x v="0"/>
    <x v="1"/>
    <x v="2"/>
    <n v="977"/>
    <m/>
  </r>
  <r>
    <n v="169"/>
    <s v="MWAFAKA   PHARMACY"/>
    <x v="19"/>
    <s v="0719 826 299"/>
    <x v="0"/>
    <x v="1"/>
    <x v="3"/>
    <n v="659"/>
    <m/>
  </r>
  <r>
    <n v="170"/>
    <s v="ASAF   PHARMACY"/>
    <x v="19"/>
    <s v="0712 522 847"/>
    <x v="0"/>
    <x v="1"/>
    <x v="4"/>
    <n v="484"/>
    <m/>
  </r>
  <r>
    <n v="171"/>
    <s v="BOABAB   PHARMACY"/>
    <x v="19"/>
    <s v="0673 937 983"/>
    <x v="0"/>
    <x v="1"/>
    <x v="0"/>
    <n v="828"/>
    <m/>
  </r>
  <r>
    <n v="172"/>
    <s v="SHAFIKA   PHARMACY"/>
    <x v="19"/>
    <s v="0719 348 848"/>
    <x v="0"/>
    <x v="1"/>
    <x v="1"/>
    <n v="253"/>
    <m/>
  </r>
  <r>
    <n v="173"/>
    <s v="SK   PHARMACY"/>
    <x v="19"/>
    <s v="0653 341 968"/>
    <x v="0"/>
    <x v="1"/>
    <x v="2"/>
    <n v="342"/>
    <m/>
  </r>
  <r>
    <n v="174"/>
    <s v="FK   PHARMACY"/>
    <x v="19"/>
    <s v="0655 454 457"/>
    <x v="0"/>
    <x v="1"/>
    <x v="3"/>
    <n v="198"/>
    <m/>
  </r>
  <r>
    <n v="175"/>
    <s v="SS PHARMACY"/>
    <x v="19"/>
    <s v="0713 515 181"/>
    <x v="0"/>
    <x v="1"/>
    <x v="4"/>
    <n v="139"/>
    <m/>
  </r>
  <r>
    <n v="176"/>
    <s v="TOP PHARMACY"/>
    <x v="19"/>
    <s v="0625 614 630"/>
    <x v="0"/>
    <x v="1"/>
    <x v="0"/>
    <n v="317"/>
    <m/>
  </r>
  <r>
    <n v="177"/>
    <s v="MHELO DLDM"/>
    <x v="19"/>
    <s v="0713 474 254"/>
    <x v="1"/>
    <x v="1"/>
    <x v="1"/>
    <n v="477"/>
    <m/>
  </r>
  <r>
    <n v="178"/>
    <s v="TAIFA MEDICO"/>
    <x v="19"/>
    <s v="0755 888 559"/>
    <x v="0"/>
    <x v="1"/>
    <x v="2"/>
    <n v="958"/>
    <m/>
  </r>
  <r>
    <n v="179"/>
    <s v="CHARITY DLDM"/>
    <x v="19"/>
    <s v="0718 486 818"/>
    <x v="1"/>
    <x v="1"/>
    <x v="3"/>
    <n v="620"/>
    <m/>
  </r>
  <r>
    <n v="180"/>
    <s v="STAR DLDM"/>
    <x v="19"/>
    <s v="0712 100 153"/>
    <x v="1"/>
    <x v="1"/>
    <x v="4"/>
    <n v="769"/>
    <m/>
  </r>
  <r>
    <n v="181"/>
    <s v="BAHATI PHARMACY"/>
    <x v="19"/>
    <s v="0713 557 600"/>
    <x v="0"/>
    <x v="1"/>
    <x v="0"/>
    <n v="827"/>
    <m/>
  </r>
  <r>
    <n v="182"/>
    <s v="SAFARI DLDM"/>
    <x v="19"/>
    <s v="0719 698 760"/>
    <x v="1"/>
    <x v="1"/>
    <x v="1"/>
    <n v="397"/>
    <m/>
  </r>
  <r>
    <n v="183"/>
    <s v="VEDA PHARMACY"/>
    <x v="19"/>
    <s v="0654 810 034"/>
    <x v="0"/>
    <x v="1"/>
    <x v="2"/>
    <n v="704"/>
    <m/>
  </r>
  <r>
    <n v="184"/>
    <s v="SAUDA ONE DLDM"/>
    <x v="19"/>
    <s v="0718 408 090"/>
    <x v="1"/>
    <x v="1"/>
    <x v="3"/>
    <n v="362"/>
    <m/>
  </r>
  <r>
    <n v="185"/>
    <s v="SAUDA TWO DLDM"/>
    <x v="19"/>
    <s v="0718 408 090"/>
    <x v="1"/>
    <x v="1"/>
    <x v="4"/>
    <n v="463"/>
    <m/>
  </r>
  <r>
    <n v="186"/>
    <s v="SAUDA THERE DLDM"/>
    <x v="19"/>
    <s v="0718 408 090"/>
    <x v="1"/>
    <x v="1"/>
    <x v="0"/>
    <n v="862"/>
    <m/>
  </r>
  <r>
    <n v="187"/>
    <s v="S.IBRAHIM PHARMACY"/>
    <x v="19"/>
    <s v="0714 405 020"/>
    <x v="0"/>
    <x v="1"/>
    <x v="1"/>
    <n v="960"/>
    <m/>
  </r>
  <r>
    <n v="188"/>
    <s v="ABIKO PHARMACY"/>
    <x v="19"/>
    <s v="0657 920  507"/>
    <x v="0"/>
    <x v="1"/>
    <x v="2"/>
    <n v="357"/>
    <m/>
  </r>
  <r>
    <n v="189"/>
    <s v="CLASSIC B DLDM"/>
    <x v="19"/>
    <s v="0712 364 936"/>
    <x v="1"/>
    <x v="1"/>
    <x v="3"/>
    <n v="996"/>
    <m/>
  </r>
  <r>
    <n v="190"/>
    <s v="SADA DLDM"/>
    <x v="19"/>
    <s v="0712 002 850"/>
    <x v="1"/>
    <x v="1"/>
    <x v="4"/>
    <n v="922"/>
    <m/>
  </r>
  <r>
    <n v="191"/>
    <s v="MADISEMO &amp; ELISHAS DLDM"/>
    <x v="19"/>
    <s v="0713 821 947"/>
    <x v="1"/>
    <x v="1"/>
    <x v="0"/>
    <n v="766"/>
    <m/>
  </r>
  <r>
    <n v="192"/>
    <s v="YERIKO DLDM"/>
    <x v="19"/>
    <s v="0656 820 986"/>
    <x v="1"/>
    <x v="1"/>
    <x v="1"/>
    <n v="116"/>
    <m/>
  </r>
  <r>
    <n v="193"/>
    <s v="HALISA DLDM"/>
    <x v="19"/>
    <s v="0713 500 616"/>
    <x v="1"/>
    <x v="1"/>
    <x v="2"/>
    <n v="928"/>
    <m/>
  </r>
  <r>
    <n v="194"/>
    <s v="MLEZI DLDM"/>
    <x v="19"/>
    <s v="0782 872 507"/>
    <x v="1"/>
    <x v="1"/>
    <x v="3"/>
    <n v="684"/>
    <m/>
  </r>
  <r>
    <n v="195"/>
    <s v="MABOGINI DLDM"/>
    <x v="19"/>
    <s v="0713 661 121"/>
    <x v="1"/>
    <x v="1"/>
    <x v="4"/>
    <n v="651"/>
    <m/>
  </r>
  <r>
    <n v="196"/>
    <s v="AVOCADO DLDM"/>
    <x v="19"/>
    <s v="0786 829 533"/>
    <x v="1"/>
    <x v="1"/>
    <x v="0"/>
    <n v="348"/>
    <m/>
  </r>
  <r>
    <n v="197"/>
    <s v="ELDORY DLDM"/>
    <x v="19"/>
    <s v="0717 570 078"/>
    <x v="1"/>
    <x v="1"/>
    <x v="1"/>
    <n v="275"/>
    <m/>
  </r>
  <r>
    <n v="198"/>
    <s v="AMBONI PHARMACY"/>
    <x v="19"/>
    <s v="0717 669 285"/>
    <x v="0"/>
    <x v="1"/>
    <x v="2"/>
    <n v="723"/>
    <m/>
  </r>
  <r>
    <n v="199"/>
    <s v="WASALA DLDM"/>
    <x v="19"/>
    <s v="0716 720 185"/>
    <x v="1"/>
    <x v="1"/>
    <x v="3"/>
    <n v="355"/>
    <m/>
  </r>
  <r>
    <n v="200"/>
    <s v="MLAMKUMBI DLDM"/>
    <x v="19"/>
    <s v="0716 000 873"/>
    <x v="1"/>
    <x v="1"/>
    <x v="4"/>
    <n v="467"/>
    <m/>
  </r>
  <r>
    <n v="201"/>
    <s v="LILI DLDM"/>
    <x v="19"/>
    <s v="0717 366 480"/>
    <x v="1"/>
    <x v="1"/>
    <x v="0"/>
    <n v="879"/>
    <m/>
  </r>
  <r>
    <n v="202"/>
    <s v="REBECCA DLDM"/>
    <x v="19"/>
    <s v="0658 824 074"/>
    <x v="1"/>
    <x v="1"/>
    <x v="1"/>
    <n v="731"/>
    <m/>
  </r>
  <r>
    <n v="203"/>
    <s v="ROSE PHARMACY"/>
    <x v="19"/>
    <s v="0713 499 514"/>
    <x v="0"/>
    <x v="1"/>
    <x v="2"/>
    <n v="348"/>
    <m/>
  </r>
  <r>
    <n v="204"/>
    <s v="MAKOROLA DLDM"/>
    <x v="19"/>
    <s v="0656 619 136"/>
    <x v="1"/>
    <x v="1"/>
    <x v="3"/>
    <n v="165"/>
    <m/>
  </r>
  <r>
    <n v="205"/>
    <s v="YERUSALEM DLDM"/>
    <x v="19"/>
    <s v="0655 575 734"/>
    <x v="1"/>
    <x v="1"/>
    <x v="4"/>
    <n v="888"/>
    <m/>
  </r>
  <r>
    <n v="206"/>
    <s v="MALINDI DLDM"/>
    <x v="19"/>
    <s v="0656 691 827"/>
    <x v="1"/>
    <x v="1"/>
    <x v="0"/>
    <n v="494"/>
    <m/>
  </r>
  <r>
    <n v="207"/>
    <s v="RAFIKI DLDM"/>
    <x v="19"/>
    <s v="0678 546 760"/>
    <x v="1"/>
    <x v="1"/>
    <x v="1"/>
    <n v="507"/>
    <m/>
  </r>
  <r>
    <n v="208"/>
    <s v="NUFAA DLDM"/>
    <x v="19"/>
    <s v="0712 749 450"/>
    <x v="1"/>
    <x v="1"/>
    <x v="2"/>
    <n v="671"/>
    <m/>
  </r>
  <r>
    <n v="209"/>
    <s v="KTM DLDM"/>
    <x v="19"/>
    <s v="0774 259 592"/>
    <x v="1"/>
    <x v="1"/>
    <x v="3"/>
    <n v="501"/>
    <m/>
  </r>
  <r>
    <n v="210"/>
    <s v="RASHID DLDM"/>
    <x v="19"/>
    <s v="0717 669 285"/>
    <x v="1"/>
    <x v="1"/>
    <x v="4"/>
    <n v="183"/>
    <m/>
  </r>
  <r>
    <n v="211"/>
    <s v="CLASSIC A DLDM"/>
    <x v="19"/>
    <s v="0675 262 697"/>
    <x v="1"/>
    <x v="1"/>
    <x v="0"/>
    <n v="845"/>
    <m/>
  </r>
  <r>
    <n v="212"/>
    <s v="TIBE DLDM"/>
    <x v="19"/>
    <s v="0715 823 097"/>
    <x v="1"/>
    <x v="1"/>
    <x v="1"/>
    <n v="241"/>
    <m/>
  </r>
  <r>
    <n v="213"/>
    <s v="CATHERINE DLDM"/>
    <x v="19"/>
    <s v="0658 202 314"/>
    <x v="1"/>
    <x v="1"/>
    <x v="2"/>
    <n v="991"/>
    <m/>
  </r>
  <r>
    <n v="214"/>
    <s v="RRH DLDM"/>
    <x v="19"/>
    <s v="0657 930 213"/>
    <x v="1"/>
    <x v="1"/>
    <x v="3"/>
    <n v="990"/>
    <m/>
  </r>
  <r>
    <n v="215"/>
    <s v="ZEI DLDM"/>
    <x v="19"/>
    <s v="0764 057 285"/>
    <x v="1"/>
    <x v="1"/>
    <x v="4"/>
    <n v="691"/>
    <m/>
  </r>
  <r>
    <n v="216"/>
    <s v="GLORY DLDM"/>
    <x v="19"/>
    <s v="0652 287 099"/>
    <x v="1"/>
    <x v="1"/>
    <x v="0"/>
    <n v="751"/>
    <m/>
  </r>
  <r>
    <n v="217"/>
    <s v="DD DLDM"/>
    <x v="19"/>
    <s v="0688 704 443"/>
    <x v="1"/>
    <x v="1"/>
    <x v="1"/>
    <n v="253"/>
    <m/>
  </r>
  <r>
    <n v="218"/>
    <s v="MWANG'OMBE PHARMACY"/>
    <x v="19"/>
    <s v="0672 015 952"/>
    <x v="0"/>
    <x v="1"/>
    <x v="2"/>
    <n v="344"/>
    <m/>
  </r>
  <r>
    <n v="219"/>
    <s v="CURE DLDM"/>
    <x v="19"/>
    <s v="0714 526 866"/>
    <x v="1"/>
    <x v="1"/>
    <x v="3"/>
    <n v="355"/>
    <m/>
  </r>
  <r>
    <n v="220"/>
    <s v="QUALITY A DLDM"/>
    <x v="19"/>
    <s v="0717 367 830"/>
    <x v="1"/>
    <x v="1"/>
    <x v="4"/>
    <n v="821"/>
    <m/>
  </r>
  <r>
    <n v="221"/>
    <s v="COMECIAL DLDM"/>
    <x v="19"/>
    <s v="0652 555 948"/>
    <x v="1"/>
    <x v="1"/>
    <x v="0"/>
    <n v="206"/>
    <m/>
  </r>
  <r>
    <n v="222"/>
    <s v="TM DLDM"/>
    <x v="19"/>
    <s v="0656 832 234"/>
    <x v="1"/>
    <x v="1"/>
    <x v="1"/>
    <n v="274"/>
    <m/>
  </r>
  <r>
    <n v="223"/>
    <s v="KAMOTES DLDM"/>
    <x v="19"/>
    <s v="0714 017 050"/>
    <x v="1"/>
    <x v="1"/>
    <x v="2"/>
    <n v="112"/>
    <m/>
  </r>
  <r>
    <n v="224"/>
    <s v="SIMBA DLDM"/>
    <x v="19"/>
    <s v="0656 478 054"/>
    <x v="1"/>
    <x v="1"/>
    <x v="3"/>
    <n v="523"/>
    <m/>
  </r>
  <r>
    <n v="225"/>
    <s v="GENERAL MEDICS"/>
    <x v="19"/>
    <s v="0774 259 592"/>
    <x v="0"/>
    <x v="1"/>
    <x v="4"/>
    <n v="690"/>
    <m/>
  </r>
  <r>
    <n v="226"/>
    <s v="ZULEKHA PHARMACY"/>
    <x v="19"/>
    <s v="0714 929 611"/>
    <x v="0"/>
    <x v="1"/>
    <x v="0"/>
    <n v="433"/>
    <m/>
  </r>
  <r>
    <n v="227"/>
    <s v="RASI DLDM"/>
    <x v="19"/>
    <s v="0714 120 941"/>
    <x v="1"/>
    <x v="1"/>
    <x v="1"/>
    <n v="935"/>
    <m/>
  </r>
  <r>
    <n v="228"/>
    <s v="SAKAS DLDM"/>
    <x v="19"/>
    <s v="0784 333 229"/>
    <x v="1"/>
    <x v="1"/>
    <x v="2"/>
    <n v="951"/>
    <m/>
  </r>
  <r>
    <n v="229"/>
    <s v="SHEKY DLDM"/>
    <x v="19"/>
    <s v="0716 500 959"/>
    <x v="1"/>
    <x v="1"/>
    <x v="3"/>
    <n v="482"/>
    <m/>
  </r>
  <r>
    <n v="230"/>
    <s v="ZENUFA DLDM"/>
    <x v="19"/>
    <s v="+255 712 749 450"/>
    <x v="1"/>
    <x v="1"/>
    <x v="4"/>
    <n v="876"/>
    <m/>
  </r>
  <r>
    <n v="231"/>
    <s v="UNGO DLDM"/>
    <x v="19"/>
    <s v="0652 524 186"/>
    <x v="1"/>
    <x v="1"/>
    <x v="0"/>
    <n v="571"/>
    <m/>
  </r>
  <r>
    <n v="232"/>
    <s v="CHEI CHEI DLDM"/>
    <x v="19"/>
    <s v="0652 844 564"/>
    <x v="1"/>
    <x v="1"/>
    <x v="1"/>
    <n v="667"/>
    <m/>
  </r>
  <r>
    <n v="233"/>
    <s v="TANGA RAHA PHARMACY"/>
    <x v="19"/>
    <s v="0655 756 759"/>
    <x v="0"/>
    <x v="1"/>
    <x v="2"/>
    <n v="479"/>
    <m/>
  </r>
  <r>
    <n v="234"/>
    <s v="MBWAMBO SHOP "/>
    <x v="20"/>
    <s v="0656 393 582"/>
    <x v="2"/>
    <x v="1"/>
    <x v="3"/>
    <n v="189"/>
    <m/>
  </r>
  <r>
    <n v="235"/>
    <s v="MAMA T SHOP "/>
    <x v="20"/>
    <s v="0655 782 990"/>
    <x v="2"/>
    <x v="1"/>
    <x v="4"/>
    <n v="372"/>
    <m/>
  </r>
  <r>
    <n v="236"/>
    <s v="MAMA J SHOP "/>
    <x v="20"/>
    <s v="0718 925 356"/>
    <x v="2"/>
    <x v="1"/>
    <x v="0"/>
    <n v="365"/>
    <m/>
  </r>
  <r>
    <n v="237"/>
    <s v="MAMA CHUWA SHOP "/>
    <x v="20"/>
    <s v="0624 682 276"/>
    <x v="2"/>
    <x v="1"/>
    <x v="1"/>
    <n v="811"/>
    <m/>
  </r>
  <r>
    <n v="238"/>
    <s v="ABDALLAH SHOP "/>
    <x v="20"/>
    <s v="0715 991 750"/>
    <x v="2"/>
    <x v="1"/>
    <x v="2"/>
    <n v="219"/>
    <m/>
  </r>
  <r>
    <n v="239"/>
    <s v="NASRA SHOP "/>
    <x v="20"/>
    <s v="0773 219 865"/>
    <x v="2"/>
    <x v="1"/>
    <x v="3"/>
    <n v="122"/>
    <m/>
  </r>
  <r>
    <n v="240"/>
    <s v="OMARY JAMAL SHOP "/>
    <x v="20"/>
    <s v="0686 732 111"/>
    <x v="2"/>
    <x v="1"/>
    <x v="4"/>
    <n v="455"/>
    <m/>
  </r>
  <r>
    <n v="241"/>
    <s v="IRENE SHOP "/>
    <x v="21"/>
    <s v="0752 510 873"/>
    <x v="2"/>
    <x v="1"/>
    <x v="0"/>
    <n v="600"/>
    <m/>
  </r>
  <r>
    <n v="242"/>
    <s v="STEVE SHOP "/>
    <x v="20"/>
    <s v="0752 510 873"/>
    <x v="2"/>
    <x v="1"/>
    <x v="1"/>
    <n v="709"/>
    <m/>
  </r>
  <r>
    <n v="243"/>
    <s v="CHARLES SHOP "/>
    <x v="20"/>
    <s v="0718 958 268"/>
    <x v="2"/>
    <x v="1"/>
    <x v="2"/>
    <n v="486"/>
    <m/>
  </r>
  <r>
    <n v="244"/>
    <s v="OMARY KASUGA SHOP "/>
    <x v="20"/>
    <s v="0672 009 951"/>
    <x v="2"/>
    <x v="1"/>
    <x v="3"/>
    <n v="332"/>
    <m/>
  </r>
  <r>
    <n v="245"/>
    <s v="MANHA SUPER MARKET "/>
    <x v="20"/>
    <s v="0715 897 167"/>
    <x v="3"/>
    <x v="1"/>
    <x v="4"/>
    <n v="543"/>
    <m/>
  </r>
  <r>
    <n v="246"/>
    <s v="OKAZ CENTER "/>
    <x v="20"/>
    <s v="0715 762 698"/>
    <x v="2"/>
    <x v="1"/>
    <x v="0"/>
    <n v="555"/>
    <m/>
  </r>
  <r>
    <n v="247"/>
    <s v="KIBINDO SHOP "/>
    <x v="20"/>
    <s v="0719 003 317"/>
    <x v="2"/>
    <x v="1"/>
    <x v="1"/>
    <n v="173"/>
    <m/>
  </r>
  <r>
    <n v="248"/>
    <s v="SORANKI SHOP "/>
    <x v="20"/>
    <s v="0653 216 677"/>
    <x v="2"/>
    <x v="1"/>
    <x v="2"/>
    <n v="233"/>
    <m/>
  </r>
  <r>
    <n v="249"/>
    <s v="AMI SHOP "/>
    <x v="20"/>
    <s v="0714 161 315"/>
    <x v="2"/>
    <x v="1"/>
    <x v="3"/>
    <n v="653"/>
    <m/>
  </r>
  <r>
    <n v="250"/>
    <s v="HASSAD SHOP "/>
    <x v="20"/>
    <s v="0719 189 449"/>
    <x v="2"/>
    <x v="1"/>
    <x v="4"/>
    <n v="591"/>
    <m/>
  </r>
  <r>
    <n v="251"/>
    <s v="NASSORO SHOP "/>
    <x v="20"/>
    <s v="0712 750 900"/>
    <x v="2"/>
    <x v="1"/>
    <x v="0"/>
    <n v="175"/>
    <m/>
  </r>
  <r>
    <n v="252"/>
    <s v="IK'S SHOP "/>
    <x v="20"/>
    <s v="0784 403 553"/>
    <x v="2"/>
    <x v="1"/>
    <x v="1"/>
    <n v="174"/>
    <m/>
  </r>
  <r>
    <n v="253"/>
    <s v="KADEGHE MDOGO SHOP "/>
    <x v="20"/>
    <s v="0713 561 798"/>
    <x v="2"/>
    <x v="1"/>
    <x v="2"/>
    <n v="400"/>
    <m/>
  </r>
  <r>
    <n v="254"/>
    <s v="MOHAMED ABDALLAH SHOP "/>
    <x v="20"/>
    <s v="0715 384 740"/>
    <x v="2"/>
    <x v="1"/>
    <x v="3"/>
    <n v="434"/>
    <m/>
  </r>
  <r>
    <n v="255"/>
    <s v="YUSUFU SHOP "/>
    <x v="20"/>
    <s v="0719 438 607"/>
    <x v="2"/>
    <x v="1"/>
    <x v="4"/>
    <n v="649"/>
    <m/>
  </r>
  <r>
    <n v="256"/>
    <s v="DATAN SHOP "/>
    <x v="20"/>
    <s v="0715 331 709"/>
    <x v="2"/>
    <x v="1"/>
    <x v="0"/>
    <n v="574"/>
    <m/>
  </r>
  <r>
    <n v="257"/>
    <s v="ABUSHIRI SHOP "/>
    <x v="20"/>
    <s v="0653 107 043"/>
    <x v="2"/>
    <x v="1"/>
    <x v="1"/>
    <n v="401"/>
    <m/>
  </r>
  <r>
    <n v="258"/>
    <s v="AMIDU HASSAN SHOP "/>
    <x v="20"/>
    <s v="0717 793 106"/>
    <x v="2"/>
    <x v="1"/>
    <x v="2"/>
    <n v="313"/>
    <m/>
  </r>
  <r>
    <n v="259"/>
    <s v="MAGRETH SHOP "/>
    <x v="20"/>
    <s v="0686 960 200"/>
    <x v="2"/>
    <x v="1"/>
    <x v="3"/>
    <n v="725"/>
    <m/>
  </r>
  <r>
    <n v="260"/>
    <s v="MAJISU SHOP "/>
    <x v="20"/>
    <s v="0688 949 865"/>
    <x v="2"/>
    <x v="1"/>
    <x v="4"/>
    <n v="640"/>
    <m/>
  </r>
  <r>
    <n v="261"/>
    <s v="BABA CHUWA SHOP "/>
    <x v="20"/>
    <s v="0658 847 628"/>
    <x v="2"/>
    <x v="1"/>
    <x v="0"/>
    <n v="207"/>
    <m/>
  </r>
  <r>
    <n v="262"/>
    <s v="Omary Ally Shop"/>
    <x v="22"/>
    <s v="0654 570 200"/>
    <x v="2"/>
    <x v="1"/>
    <x v="1"/>
    <n v="550"/>
    <m/>
  </r>
  <r>
    <n v="263"/>
    <s v="Medlife Ph "/>
    <x v="22"/>
    <s v="0766 471 484"/>
    <x v="0"/>
    <x v="1"/>
    <x v="2"/>
    <n v="272"/>
    <m/>
  </r>
  <r>
    <n v="264"/>
    <s v="Domida Ph "/>
    <x v="22"/>
    <s v="0756 300 963"/>
    <x v="0"/>
    <x v="1"/>
    <x v="3"/>
    <n v="220"/>
    <m/>
  </r>
  <r>
    <n v="265"/>
    <s v="Mbwambo Shop"/>
    <x v="22"/>
    <s v="0616 122 710"/>
    <x v="2"/>
    <x v="1"/>
    <x v="4"/>
    <n v="645"/>
    <m/>
  </r>
  <r>
    <n v="266"/>
    <s v="International Ph "/>
    <x v="22"/>
    <s v="+255 686 108 160"/>
    <x v="0"/>
    <x v="1"/>
    <x v="0"/>
    <n v="927"/>
    <m/>
  </r>
  <r>
    <n v="267"/>
    <s v="Mbwambo 2 Shop "/>
    <x v="22"/>
    <s v="0657 163 255"/>
    <x v="2"/>
    <x v="1"/>
    <x v="1"/>
    <n v="780"/>
    <m/>
  </r>
  <r>
    <n v="268"/>
    <s v="Pela Ph "/>
    <x v="22"/>
    <s v="0672 059 633"/>
    <x v="0"/>
    <x v="1"/>
    <x v="2"/>
    <n v="300"/>
    <m/>
  </r>
  <r>
    <n v="269"/>
    <s v="Nasra Shop "/>
    <x v="22"/>
    <s v="0779 437 372"/>
    <x v="2"/>
    <x v="1"/>
    <x v="3"/>
    <n v="436"/>
    <m/>
  </r>
  <r>
    <n v="270"/>
    <s v="Mama T Shop "/>
    <x v="22"/>
    <s v="0655 782 990"/>
    <x v="2"/>
    <x v="1"/>
    <x v="4"/>
    <n v="209"/>
    <m/>
  </r>
  <r>
    <n v="271"/>
    <s v="Mama Chuwa Shop "/>
    <x v="22"/>
    <s v="0624 682 276"/>
    <x v="2"/>
    <x v="1"/>
    <x v="0"/>
    <n v="178"/>
    <m/>
  </r>
  <r>
    <n v="272"/>
    <s v="Haji Shop "/>
    <x v="22"/>
    <s v="0679 197 271"/>
    <x v="2"/>
    <x v="1"/>
    <x v="1"/>
    <n v="367"/>
    <m/>
  </r>
  <r>
    <n v="273"/>
    <s v="Shakamaya Shop "/>
    <x v="22"/>
    <s v="0621 124 925"/>
    <x v="2"/>
    <x v="1"/>
    <x v="2"/>
    <n v="992"/>
    <m/>
  </r>
  <r>
    <n v="274"/>
    <s v="Mvuni Shop "/>
    <x v="22"/>
    <s v="0652 171 244"/>
    <x v="2"/>
    <x v="1"/>
    <x v="3"/>
    <n v="628"/>
    <m/>
  </r>
  <r>
    <n v="275"/>
    <s v="NURU KANGE DLDM"/>
    <x v="23"/>
    <s v="0713 850 910"/>
    <x v="1"/>
    <x v="1"/>
    <x v="4"/>
    <n v="917"/>
    <m/>
  </r>
  <r>
    <n v="276"/>
    <s v="SHILO DLDM"/>
    <x v="23"/>
    <s v="0716 966 337"/>
    <x v="1"/>
    <x v="1"/>
    <x v="0"/>
    <n v="260"/>
    <m/>
  </r>
  <r>
    <n v="277"/>
    <s v="MERELA DLDM"/>
    <x v="23"/>
    <s v="+255 625 436 114"/>
    <x v="1"/>
    <x v="1"/>
    <x v="1"/>
    <n v="323"/>
    <m/>
  </r>
  <r>
    <n v="278"/>
    <s v="FARAJA DLDM"/>
    <x v="23"/>
    <s v="0659 112 336"/>
    <x v="1"/>
    <x v="1"/>
    <x v="2"/>
    <n v="703"/>
    <m/>
  </r>
  <r>
    <n v="279"/>
    <s v="GMM DLDM"/>
    <x v="23"/>
    <s v="0784 813 506"/>
    <x v="1"/>
    <x v="1"/>
    <x v="3"/>
    <n v="494"/>
    <m/>
  </r>
  <r>
    <n v="280"/>
    <s v="ERICK DLDM"/>
    <x v="23"/>
    <s v="0757 616 925"/>
    <x v="1"/>
    <x v="1"/>
    <x v="4"/>
    <n v="875"/>
    <m/>
  </r>
  <r>
    <n v="281"/>
    <s v="HOPE DLDM"/>
    <x v="23"/>
    <s v="+255 759 191 128"/>
    <x v="1"/>
    <x v="1"/>
    <x v="0"/>
    <n v="866"/>
    <m/>
  </r>
  <r>
    <n v="282"/>
    <s v="LAMECK DLDM"/>
    <x v="23"/>
    <s v="0773 254 595"/>
    <x v="1"/>
    <x v="1"/>
    <x v="1"/>
    <n v="436"/>
    <m/>
  </r>
  <r>
    <n v="283"/>
    <s v="MBOLIMBOLI DLDM"/>
    <x v="23"/>
    <s v="0767 196 019"/>
    <x v="1"/>
    <x v="1"/>
    <x v="2"/>
    <n v="183"/>
    <m/>
  </r>
  <r>
    <n v="284"/>
    <s v="MNYONE DLDM"/>
    <x v="23"/>
    <s v="0715 343 000"/>
    <x v="1"/>
    <x v="1"/>
    <x v="3"/>
    <n v="311"/>
    <m/>
  </r>
  <r>
    <n v="285"/>
    <s v="MSHANA DLDM"/>
    <x v="23"/>
    <s v="0679 548 988"/>
    <x v="1"/>
    <x v="1"/>
    <x v="4"/>
    <n v="621"/>
    <m/>
  </r>
  <r>
    <n v="286"/>
    <s v="NYANDA DLDM"/>
    <x v="23"/>
    <s v="0717 739 698"/>
    <x v="1"/>
    <x v="1"/>
    <x v="0"/>
    <n v="510"/>
    <m/>
  </r>
  <r>
    <n v="287"/>
    <s v="ZAM ZAM PHARMACY"/>
    <x v="23"/>
    <s v="0717 483 565"/>
    <x v="0"/>
    <x v="1"/>
    <x v="1"/>
    <n v="786"/>
    <m/>
  </r>
  <r>
    <n v="288"/>
    <s v="SAYYI DLDM"/>
    <x v="23"/>
    <s v="0674 308 700"/>
    <x v="1"/>
    <x v="1"/>
    <x v="2"/>
    <n v="113"/>
    <m/>
  </r>
  <r>
    <n v="289"/>
    <s v="PRISCA DLDM"/>
    <x v="23"/>
    <s v="0699 878 700"/>
    <x v="1"/>
    <x v="1"/>
    <x v="3"/>
    <n v="802"/>
    <m/>
  </r>
  <r>
    <n v="290"/>
    <s v="PHINER DLDM"/>
    <x v="23"/>
    <s v="0658 365 508"/>
    <x v="0"/>
    <x v="1"/>
    <x v="4"/>
    <n v="971"/>
    <m/>
  </r>
  <r>
    <n v="291"/>
    <s v="PONGWE PHARMACY"/>
    <x v="24"/>
    <s v="0717 588 622"/>
    <x v="0"/>
    <x v="1"/>
    <x v="0"/>
    <n v="411"/>
    <m/>
  </r>
  <r>
    <n v="292"/>
    <s v="MODERN MEDICS"/>
    <x v="24"/>
    <s v="0659 707 363"/>
    <x v="0"/>
    <x v="1"/>
    <x v="1"/>
    <n v="477"/>
    <m/>
  </r>
  <r>
    <n v="293"/>
    <s v="SABUNI MEDICS"/>
    <x v="24"/>
    <s v="0657 912 577"/>
    <x v="0"/>
    <x v="1"/>
    <x v="2"/>
    <n v="377"/>
    <m/>
  </r>
  <r>
    <n v="294"/>
    <s v="TSUMA MEDICS"/>
    <x v="24"/>
    <s v="0714 401 964"/>
    <x v="0"/>
    <x v="1"/>
    <x v="3"/>
    <n v="656"/>
    <m/>
  </r>
  <r>
    <n v="295"/>
    <s v="NH DLDM"/>
    <x v="24"/>
    <s v="0715 881 711"/>
    <x v="1"/>
    <x v="1"/>
    <x v="4"/>
    <n v="389"/>
    <m/>
  </r>
  <r>
    <n v="296"/>
    <s v="NYABUSANI DLDM"/>
    <x v="24"/>
    <s v="0713 365 029"/>
    <x v="1"/>
    <x v="1"/>
    <x v="0"/>
    <n v="249"/>
    <m/>
  </r>
  <r>
    <n v="297"/>
    <s v="KISIWANI DLDM"/>
    <x v="24"/>
    <s v="0654 683 797"/>
    <x v="1"/>
    <x v="1"/>
    <x v="1"/>
    <n v="178"/>
    <m/>
  </r>
  <r>
    <n v="298"/>
    <s v="KASSIM PH"/>
    <x v="25"/>
    <s v="0674 070 723"/>
    <x v="0"/>
    <x v="1"/>
    <x v="2"/>
    <n v="932"/>
    <m/>
  </r>
  <r>
    <n v="299"/>
    <s v="GETAWAY PHARMACY"/>
    <x v="25"/>
    <s v="0713 860 743"/>
    <x v="0"/>
    <x v="1"/>
    <x v="3"/>
    <n v="806"/>
    <m/>
  </r>
  <r>
    <n v="300"/>
    <s v="ZAYON MEDICS"/>
    <x v="25"/>
    <s v="0622 247 114"/>
    <x v="0"/>
    <x v="1"/>
    <x v="4"/>
    <n v="337"/>
    <m/>
  </r>
  <r>
    <n v="301"/>
    <s v="DAFA DLDM"/>
    <x v="25"/>
    <s v="0718 662 528"/>
    <x v="1"/>
    <x v="1"/>
    <x v="0"/>
    <n v="484"/>
    <m/>
  </r>
  <r>
    <n v="302"/>
    <s v="FM ONE DLDM"/>
    <x v="25"/>
    <s v="0677 678 110"/>
    <x v="1"/>
    <x v="1"/>
    <x v="1"/>
    <n v="284"/>
    <m/>
  </r>
  <r>
    <n v="303"/>
    <s v="FM TWO DLDM"/>
    <x v="25"/>
    <s v="0677 678 110"/>
    <x v="1"/>
    <x v="1"/>
    <x v="2"/>
    <n v="658"/>
    <m/>
  </r>
  <r>
    <n v="304"/>
    <s v="MBARAMO DLDM"/>
    <x v="25"/>
    <s v="0715 932 744"/>
    <x v="1"/>
    <x v="1"/>
    <x v="3"/>
    <n v="518"/>
    <m/>
  </r>
  <r>
    <n v="305"/>
    <s v="JERRY DLDM"/>
    <x v="25"/>
    <s v="0675 585 149"/>
    <x v="1"/>
    <x v="1"/>
    <x v="4"/>
    <n v="617"/>
    <m/>
  </r>
  <r>
    <n v="306"/>
    <s v="BEATHA DLDM"/>
    <x v="25"/>
    <s v="0652 884 688"/>
    <x v="1"/>
    <x v="1"/>
    <x v="0"/>
    <n v="751"/>
    <m/>
  </r>
  <r>
    <n v="307"/>
    <s v="UPENDO DLDM"/>
    <x v="25"/>
    <s v="0655 104 689"/>
    <x v="1"/>
    <x v="1"/>
    <x v="1"/>
    <n v="118"/>
    <m/>
  </r>
  <r>
    <n v="308"/>
    <s v="DATTY PHARMACY"/>
    <x v="25"/>
    <s v="0711 909 144"/>
    <x v="0"/>
    <x v="1"/>
    <x v="2"/>
    <n v="704"/>
    <m/>
  </r>
  <r>
    <n v="309"/>
    <s v="META PHARMACY"/>
    <x v="25"/>
    <s v="0672 555 301"/>
    <x v="0"/>
    <x v="1"/>
    <x v="3"/>
    <n v="532"/>
    <m/>
  </r>
  <r>
    <n v="310"/>
    <s v="MTEGA PHARMACY"/>
    <x v="25"/>
    <s v="0677 734 868"/>
    <x v="0"/>
    <x v="1"/>
    <x v="4"/>
    <n v="756"/>
    <m/>
  </r>
  <r>
    <n v="311"/>
    <s v="WEMA DLDM"/>
    <x v="25"/>
    <s v="0714 792 510"/>
    <x v="1"/>
    <x v="1"/>
    <x v="0"/>
    <n v="457"/>
    <m/>
  </r>
  <r>
    <n v="312"/>
    <s v="KAONEKA DLDM"/>
    <x v="25"/>
    <s v="0654 965 982"/>
    <x v="1"/>
    <x v="1"/>
    <x v="1"/>
    <n v="146"/>
    <m/>
  </r>
  <r>
    <n v="313"/>
    <s v="SHIMBI DLDM"/>
    <x v="25"/>
    <s v="0658 005 720"/>
    <x v="1"/>
    <x v="1"/>
    <x v="2"/>
    <n v="352"/>
    <m/>
  </r>
  <r>
    <n v="314"/>
    <s v="MAJENGO DLDM"/>
    <x v="25"/>
    <s v="0659 125 707"/>
    <x v="1"/>
    <x v="1"/>
    <x v="3"/>
    <n v="901"/>
    <m/>
  </r>
  <r>
    <n v="315"/>
    <s v="ALA IN ONE DLDM"/>
    <x v="25"/>
    <s v="0658 586 664"/>
    <x v="1"/>
    <x v="1"/>
    <x v="4"/>
    <n v="791"/>
    <m/>
  </r>
  <r>
    <n v="316"/>
    <s v="SEMBONI PART ONE PHARMACY"/>
    <x v="25"/>
    <s v="0713 989 026"/>
    <x v="0"/>
    <x v="1"/>
    <x v="0"/>
    <n v="444"/>
    <m/>
  </r>
  <r>
    <n v="317"/>
    <s v="SEMBONI PART TWO DLDM"/>
    <x v="25"/>
    <s v="0713 989 026"/>
    <x v="1"/>
    <x v="1"/>
    <x v="1"/>
    <n v="917"/>
    <m/>
  </r>
  <r>
    <n v="318"/>
    <s v="MAMBANO DLDM"/>
    <x v="25"/>
    <s v="0712 977 623"/>
    <x v="1"/>
    <x v="1"/>
    <x v="2"/>
    <n v="880"/>
    <m/>
  </r>
  <r>
    <n v="319"/>
    <s v="MINA DLDM"/>
    <x v="25"/>
    <s v="0623 338 341"/>
    <x v="1"/>
    <x v="1"/>
    <x v="3"/>
    <n v="544"/>
    <m/>
  </r>
  <r>
    <n v="320"/>
    <s v="MSAMALIA MEDICS"/>
    <x v="25"/>
    <s v="0714 274 000"/>
    <x v="0"/>
    <x v="1"/>
    <x v="4"/>
    <n v="668"/>
    <m/>
  </r>
  <r>
    <n v="321"/>
    <s v="MIHO MEDEICS"/>
    <x v="25"/>
    <s v="0652 888 597"/>
    <x v="1"/>
    <x v="1"/>
    <x v="0"/>
    <n v="547"/>
    <m/>
  </r>
  <r>
    <n v="322"/>
    <s v="MGENI DLDM"/>
    <x v="25"/>
    <s v="0779 706 300"/>
    <x v="1"/>
    <x v="1"/>
    <x v="1"/>
    <n v="944"/>
    <m/>
  </r>
  <r>
    <n v="323"/>
    <s v="JOHN'S CORNER PHARMACY"/>
    <x v="25"/>
    <s v="0712 343 465"/>
    <x v="0"/>
    <x v="1"/>
    <x v="2"/>
    <n v="570"/>
    <m/>
  </r>
  <r>
    <n v="324"/>
    <s v="ABDALLAH SHOP "/>
    <x v="26"/>
    <s v="0652 720 747"/>
    <x v="2"/>
    <x v="1"/>
    <x v="3"/>
    <n v="635"/>
    <m/>
  </r>
  <r>
    <n v="325"/>
    <s v="ABEL SHOP "/>
    <x v="26"/>
    <s v="0715 974 303"/>
    <x v="2"/>
    <x v="1"/>
    <x v="4"/>
    <n v="397"/>
    <m/>
  </r>
  <r>
    <n v="326"/>
    <s v="ASHA SHOP "/>
    <x v="26"/>
    <s v="0653 225 110"/>
    <x v="2"/>
    <x v="1"/>
    <x v="0"/>
    <n v="754"/>
    <m/>
  </r>
  <r>
    <n v="327"/>
    <s v="YAHAYA SHOP"/>
    <x v="26"/>
    <s v="0675 003 556"/>
    <x v="2"/>
    <x v="1"/>
    <x v="1"/>
    <n v="641"/>
    <m/>
  </r>
  <r>
    <n v="328"/>
    <s v="SALIM SHOP "/>
    <x v="26"/>
    <s v="0678 725 640"/>
    <x v="2"/>
    <x v="1"/>
    <x v="2"/>
    <n v="251"/>
    <m/>
  </r>
  <r>
    <n v="329"/>
    <s v="SMART SHOP "/>
    <x v="26"/>
    <s v="0622 989 370"/>
    <x v="2"/>
    <x v="1"/>
    <x v="3"/>
    <n v="527"/>
    <m/>
  </r>
  <r>
    <n v="330"/>
    <s v="SWALEHE SHOP "/>
    <x v="26"/>
    <s v="0719 490 277"/>
    <x v="2"/>
    <x v="1"/>
    <x v="4"/>
    <n v="510"/>
    <m/>
  </r>
  <r>
    <n v="331"/>
    <s v="Nyakusagira Ph "/>
    <x v="27"/>
    <s v="0784 200 160"/>
    <x v="0"/>
    <x v="1"/>
    <x v="0"/>
    <n v="729"/>
    <m/>
  </r>
  <r>
    <n v="332"/>
    <s v="Matesh Ph "/>
    <x v="27"/>
    <s v="0716 266 144"/>
    <x v="0"/>
    <x v="1"/>
    <x v="1"/>
    <n v="614"/>
    <m/>
  </r>
  <r>
    <n v="333"/>
    <s v="Mbwana Shop "/>
    <x v="27"/>
    <s v="+255 752 156 275"/>
    <x v="2"/>
    <x v="1"/>
    <x v="2"/>
    <n v="529"/>
    <m/>
  </r>
  <r>
    <n v="334"/>
    <s v="Gerald Bahati Shop "/>
    <x v="27"/>
    <s v="0713 803 738"/>
    <x v="2"/>
    <x v="1"/>
    <x v="3"/>
    <n v="784"/>
    <m/>
  </r>
  <r>
    <n v="335"/>
    <s v="Dagaro Shop"/>
    <x v="27"/>
    <s v="0657 843 665"/>
    <x v="2"/>
    <x v="1"/>
    <x v="4"/>
    <n v="101"/>
    <m/>
  </r>
  <r>
    <n v="336"/>
    <s v="Rukia Muya Shop "/>
    <x v="27"/>
    <s v="0657 843 665"/>
    <x v="2"/>
    <x v="1"/>
    <x v="0"/>
    <n v="140"/>
    <m/>
  </r>
  <r>
    <n v="337"/>
    <s v="Juma Shop"/>
    <x v="28"/>
    <s v="0713 921 840"/>
    <x v="2"/>
    <x v="1"/>
    <x v="1"/>
    <n v="615"/>
    <m/>
  </r>
  <r>
    <n v="338"/>
    <s v="Yasin Shop"/>
    <x v="28"/>
    <s v="0712 442 911"/>
    <x v="2"/>
    <x v="1"/>
    <x v="2"/>
    <n v="403"/>
    <m/>
  </r>
  <r>
    <n v="339"/>
    <s v="Fadhili Shop"/>
    <x v="27"/>
    <s v="0713 863 832"/>
    <x v="2"/>
    <x v="1"/>
    <x v="3"/>
    <n v="477"/>
    <m/>
  </r>
  <r>
    <n v="340"/>
    <s v="Ramso Shop "/>
    <x v="27"/>
    <s v="0715 098 485"/>
    <x v="2"/>
    <x v="1"/>
    <x v="4"/>
    <n v="838"/>
    <m/>
  </r>
  <r>
    <n v="341"/>
    <s v="Mkongo Shop "/>
    <x v="27"/>
    <s v="0679 500 716"/>
    <x v="2"/>
    <x v="1"/>
    <x v="0"/>
    <n v="263"/>
    <m/>
  </r>
  <r>
    <n v="342"/>
    <s v="Mp Shayo Shop "/>
    <x v="27"/>
    <s v="0764 277 775"/>
    <x v="2"/>
    <x v="1"/>
    <x v="1"/>
    <n v="182"/>
    <m/>
  </r>
  <r>
    <n v="343"/>
    <s v="Mvuni Shop "/>
    <x v="27"/>
    <s v="0692 074 808"/>
    <x v="2"/>
    <x v="1"/>
    <x v="2"/>
    <n v="197"/>
    <m/>
  </r>
  <r>
    <n v="344"/>
    <s v="Hashna Shop "/>
    <x v="27"/>
    <s v="0745 256 006"/>
    <x v="2"/>
    <x v="1"/>
    <x v="3"/>
    <n v="378"/>
    <m/>
  </r>
  <r>
    <n v="345"/>
    <s v="Sheshe Mkwizu Shop "/>
    <x v="27"/>
    <s v="0766 402 168"/>
    <x v="2"/>
    <x v="1"/>
    <x v="4"/>
    <n v="172"/>
    <m/>
  </r>
  <r>
    <n v="346"/>
    <s v="MDK PHARMACY"/>
    <x v="28"/>
    <s v="0652 916 100"/>
    <x v="0"/>
    <x v="1"/>
    <x v="0"/>
    <n v="925"/>
    <m/>
  </r>
  <r>
    <n v="347"/>
    <s v="DOROH DLDM"/>
    <x v="28"/>
    <s v="0768 008 648"/>
    <x v="1"/>
    <x v="1"/>
    <x v="1"/>
    <n v="113"/>
    <m/>
  </r>
  <r>
    <n v="348"/>
    <s v="GOOD HOPE DLDM"/>
    <x v="28"/>
    <s v="0714 398 681"/>
    <x v="1"/>
    <x v="1"/>
    <x v="2"/>
    <n v="429"/>
    <m/>
  </r>
  <r>
    <n v="349"/>
    <s v="MUDY DLDM"/>
    <x v="28"/>
    <s v="0676 898 987"/>
    <x v="1"/>
    <x v="1"/>
    <x v="3"/>
    <n v="415"/>
    <m/>
  </r>
  <r>
    <n v="350"/>
    <s v="UPENDO DLDM"/>
    <x v="28"/>
    <s v="0714 782 147"/>
    <x v="1"/>
    <x v="1"/>
    <x v="4"/>
    <n v="951"/>
    <m/>
  </r>
  <r>
    <n v="351"/>
    <s v="SANGA DLDM"/>
    <x v="28"/>
    <s v="0674 550 222"/>
    <x v="1"/>
    <x v="1"/>
    <x v="0"/>
    <n v="573"/>
    <m/>
  </r>
  <r>
    <n v="352"/>
    <s v="M.K DLDM"/>
    <x v="28"/>
    <s v="0715 360 083"/>
    <x v="1"/>
    <x v="1"/>
    <x v="1"/>
    <n v="275"/>
    <m/>
  </r>
  <r>
    <n v="353"/>
    <s v="TIP TOP DLDM"/>
    <x v="28"/>
    <s v="0715 685 137"/>
    <x v="1"/>
    <x v="1"/>
    <x v="2"/>
    <n v="658"/>
    <m/>
  </r>
  <r>
    <n v="354"/>
    <s v="LIFE CARE DLDM"/>
    <x v="28"/>
    <s v="0757 879 142"/>
    <x v="1"/>
    <x v="1"/>
    <x v="3"/>
    <n v="348"/>
    <m/>
  </r>
  <r>
    <n v="355"/>
    <s v="GAWILE DLDM"/>
    <x v="28"/>
    <s v="0714 678 843, 0713 375 559"/>
    <x v="1"/>
    <x v="1"/>
    <x v="4"/>
    <n v="388"/>
    <m/>
  </r>
  <r>
    <n v="356"/>
    <s v="BI JOI DLDM"/>
    <x v="28"/>
    <s v="0714 398 681"/>
    <x v="1"/>
    <x v="1"/>
    <x v="0"/>
    <n v="518"/>
    <m/>
  </r>
  <r>
    <n v="357"/>
    <s v="MKOMBOZI DLDM"/>
    <x v="28"/>
    <s v="0711 767 556"/>
    <x v="1"/>
    <x v="1"/>
    <x v="1"/>
    <n v="283"/>
    <m/>
  </r>
  <r>
    <n v="358"/>
    <s v="WEMA DLDM"/>
    <x v="28"/>
    <s v="0716 039 621"/>
    <x v="1"/>
    <x v="1"/>
    <x v="2"/>
    <n v="975"/>
    <m/>
  </r>
  <r>
    <n v="359"/>
    <s v="TWO IN ONE PHARMACY"/>
    <x v="28"/>
    <s v="0652 771 570"/>
    <x v="0"/>
    <x v="1"/>
    <x v="3"/>
    <n v="167"/>
    <m/>
  </r>
  <r>
    <n v="360"/>
    <s v="MUTESHI BLANCH PHARMACY"/>
    <x v="28"/>
    <s v="0716 266 144"/>
    <x v="0"/>
    <x v="1"/>
    <x v="4"/>
    <n v="929"/>
    <m/>
  </r>
  <r>
    <n v="361"/>
    <s v="PAMOJA PHARMACY"/>
    <x v="28"/>
    <s v="0654 344 834"/>
    <x v="0"/>
    <x v="1"/>
    <x v="0"/>
    <n v="851"/>
    <m/>
  </r>
  <r>
    <n v="362"/>
    <s v="FURAHA PHARMACY"/>
    <x v="28"/>
    <s v="0657 174 734"/>
    <x v="0"/>
    <x v="1"/>
    <x v="1"/>
    <n v="671"/>
    <m/>
  </r>
  <r>
    <n v="363"/>
    <s v="KETA MEDICS"/>
    <x v="28"/>
    <s v="0627 112 762"/>
    <x v="0"/>
    <x v="1"/>
    <x v="2"/>
    <n v="554"/>
    <m/>
  </r>
  <r>
    <n v="364"/>
    <s v="DAGARO SHOP "/>
    <x v="27"/>
    <s v="0657 843 665"/>
    <x v="2"/>
    <x v="1"/>
    <x v="3"/>
    <n v="422"/>
    <m/>
  </r>
  <r>
    <n v="365"/>
    <s v="GERALD BAHATI SHOP "/>
    <x v="27"/>
    <s v="0713 803 738"/>
    <x v="2"/>
    <x v="1"/>
    <x v="4"/>
    <n v="433"/>
    <m/>
  </r>
  <r>
    <n v="366"/>
    <s v="GIFT MINI SUPER MARKET "/>
    <x v="27"/>
    <s v="0717 357 275"/>
    <x v="3"/>
    <x v="1"/>
    <x v="0"/>
    <n v="170"/>
    <m/>
  </r>
  <r>
    <n v="367"/>
    <s v="KIMARO SHOP "/>
    <x v="27"/>
    <s v="0657 148 986"/>
    <x v="2"/>
    <x v="1"/>
    <x v="1"/>
    <n v="773"/>
    <m/>
  </r>
  <r>
    <n v="368"/>
    <s v="LIVING SHOP "/>
    <x v="27"/>
    <s v="0714 872 422"/>
    <x v="2"/>
    <x v="1"/>
    <x v="2"/>
    <n v="686"/>
    <m/>
  </r>
  <r>
    <n v="369"/>
    <s v="RAMADHANI SHOP "/>
    <x v="27"/>
    <s v="0652 296 604"/>
    <x v="2"/>
    <x v="1"/>
    <x v="3"/>
    <n v="636"/>
    <m/>
  </r>
  <r>
    <n v="370"/>
    <s v="RAMSO SHOP "/>
    <x v="27"/>
    <s v="0672 333 237"/>
    <x v="2"/>
    <x v="1"/>
    <x v="4"/>
    <n v="712"/>
    <m/>
  </r>
  <r>
    <n v="371"/>
    <s v="SAMWELI MASINDE SHOP "/>
    <x v="27"/>
    <s v="0715 819 997"/>
    <x v="2"/>
    <x v="1"/>
    <x v="0"/>
    <n v="215"/>
    <m/>
  </r>
  <r>
    <n v="372"/>
    <s v="HASHNA SHOP "/>
    <x v="29"/>
    <s v="0713 747 525"/>
    <x v="2"/>
    <x v="1"/>
    <x v="1"/>
    <n v="806"/>
    <m/>
  </r>
  <r>
    <n v="373"/>
    <s v="MP SHAYO SHOP "/>
    <x v="29"/>
    <s v="0655 668 552"/>
    <x v="2"/>
    <x v="1"/>
    <x v="2"/>
    <n v="165"/>
    <m/>
  </r>
  <r>
    <n v="374"/>
    <s v="MUZDALIFAH"/>
    <x v="30"/>
    <s v="0714 711 214"/>
    <x v="2"/>
    <x v="1"/>
    <x v="3"/>
    <n v="708"/>
    <m/>
  </r>
  <r>
    <n v="375"/>
    <s v="SELEMANI SHOP "/>
    <x v="30"/>
    <s v="0672 116 938"/>
    <x v="2"/>
    <x v="1"/>
    <x v="4"/>
    <n v="647"/>
    <m/>
  </r>
  <r>
    <n v="376"/>
    <s v="SHESHE KWIZILI SHOP "/>
    <x v="30"/>
    <s v="0654 314 756"/>
    <x v="2"/>
    <x v="1"/>
    <x v="0"/>
    <n v="319"/>
    <m/>
  </r>
  <r>
    <n v="377"/>
    <s v="FITRAH PHARMACY "/>
    <x v="31"/>
    <s v="0654 222 261"/>
    <x v="0"/>
    <x v="1"/>
    <x v="1"/>
    <n v="177"/>
    <m/>
  </r>
  <r>
    <n v="378"/>
    <s v="CHOGO DLDM"/>
    <x v="31"/>
    <s v="0658 757 717"/>
    <x v="1"/>
    <x v="1"/>
    <x v="2"/>
    <n v="367"/>
    <m/>
  </r>
  <r>
    <n v="379"/>
    <s v="SHESA MEDICS"/>
    <x v="31"/>
    <s v="0628 929 366, 0652 061 558"/>
    <x v="0"/>
    <x v="1"/>
    <x v="3"/>
    <n v="659"/>
    <m/>
  </r>
  <r>
    <n v="380"/>
    <s v="G.M DLDM"/>
    <x v="31"/>
    <s v="0628 257 394"/>
    <x v="1"/>
    <x v="1"/>
    <x v="4"/>
    <n v="385"/>
    <m/>
  </r>
  <r>
    <n v="381"/>
    <s v="ZAM DLDM"/>
    <x v="31"/>
    <s v="0654 320 276, 0786 210 055"/>
    <x v="1"/>
    <x v="1"/>
    <x v="0"/>
    <n v="158"/>
    <m/>
  </r>
  <r>
    <n v="382"/>
    <s v="SWAI DLDM"/>
    <x v="31"/>
    <s v="0659 482 551"/>
    <x v="1"/>
    <x v="1"/>
    <x v="1"/>
    <n v="892"/>
    <m/>
  </r>
  <r>
    <n v="383"/>
    <s v="KAUYE PHARMACY"/>
    <x v="31"/>
    <s v="0715 864 917"/>
    <x v="0"/>
    <x v="1"/>
    <x v="2"/>
    <n v="404"/>
    <m/>
  </r>
  <r>
    <n v="384"/>
    <s v="PRISCA DLDM"/>
    <x v="31"/>
    <s v="0768 657 387"/>
    <x v="1"/>
    <x v="1"/>
    <x v="3"/>
    <n v="556"/>
    <m/>
  </r>
  <r>
    <n v="385"/>
    <s v="NAATWE DLDM"/>
    <x v="31"/>
    <s v="0675 006 989"/>
    <x v="1"/>
    <x v="1"/>
    <x v="4"/>
    <n v="472"/>
    <m/>
  </r>
  <r>
    <n v="386"/>
    <s v="JOHARI PHARMACY"/>
    <x v="31"/>
    <m/>
    <x v="0"/>
    <x v="1"/>
    <x v="0"/>
    <n v="530"/>
    <m/>
  </r>
  <r>
    <n v="387"/>
    <s v="THAKHIR DLDM"/>
    <x v="31"/>
    <s v="0676 621 800"/>
    <x v="1"/>
    <x v="1"/>
    <x v="1"/>
    <n v="728"/>
    <m/>
  </r>
  <r>
    <n v="388"/>
    <s v="MSEJWA DISPENSARY"/>
    <x v="31"/>
    <s v="0673 537 526"/>
    <x v="0"/>
    <x v="1"/>
    <x v="2"/>
    <n v="249"/>
    <m/>
  </r>
  <r>
    <n v="389"/>
    <s v="DHAMIRA DLDM"/>
    <x v="31"/>
    <s v="0715 221 307"/>
    <x v="1"/>
    <x v="1"/>
    <x v="3"/>
    <n v="511"/>
    <m/>
  </r>
  <r>
    <n v="390"/>
    <s v="HOYAWANA DLDM"/>
    <x v="31"/>
    <s v="0716 112 294"/>
    <x v="1"/>
    <x v="1"/>
    <x v="4"/>
    <n v="492"/>
    <m/>
  </r>
  <r>
    <n v="391"/>
    <s v="NEEMA SAWE DLDM"/>
    <x v="31"/>
    <s v="0712 198 901"/>
    <x v="1"/>
    <x v="1"/>
    <x v="0"/>
    <n v="160"/>
    <m/>
  </r>
  <r>
    <n v="392"/>
    <s v="EMMANUEL DLDM"/>
    <x v="31"/>
    <s v="0714 434 180"/>
    <x v="1"/>
    <x v="1"/>
    <x v="1"/>
    <n v="780"/>
    <m/>
  </r>
  <r>
    <n v="393"/>
    <s v="TABU DLDM"/>
    <x v="31"/>
    <s v="0655 735 263"/>
    <x v="1"/>
    <x v="1"/>
    <x v="2"/>
    <n v="695"/>
    <m/>
  </r>
  <r>
    <n v="394"/>
    <s v="FAITH PHARMACY"/>
    <x v="31"/>
    <s v="0764 641 407"/>
    <x v="0"/>
    <x v="1"/>
    <x v="3"/>
    <n v="853"/>
    <m/>
  </r>
  <r>
    <n v="395"/>
    <s v="ZAWADI DLDM"/>
    <x v="31"/>
    <s v="0654 018 679"/>
    <x v="1"/>
    <x v="1"/>
    <x v="4"/>
    <n v="577"/>
    <m/>
  </r>
  <r>
    <n v="396"/>
    <s v="MSAMALIA DISPENSARY"/>
    <x v="31"/>
    <s v="0718 100 136"/>
    <x v="0"/>
    <x v="1"/>
    <x v="0"/>
    <n v="116"/>
    <m/>
  </r>
  <r>
    <n v="397"/>
    <s v="CARE AND CURE PHARMACY"/>
    <x v="31"/>
    <s v="0677 262 517"/>
    <x v="0"/>
    <x v="1"/>
    <x v="1"/>
    <n v="543"/>
    <m/>
  </r>
  <r>
    <n v="398"/>
    <s v="FURAHIA PHARMACY"/>
    <x v="31"/>
    <s v="0719 140 033"/>
    <x v="0"/>
    <x v="1"/>
    <x v="2"/>
    <n v="912"/>
    <m/>
  </r>
  <r>
    <n v="399"/>
    <s v="KWA MDUMA DLDM"/>
    <x v="31"/>
    <s v="0652 853 117"/>
    <x v="1"/>
    <x v="1"/>
    <x v="3"/>
    <n v="732"/>
    <m/>
  </r>
  <r>
    <n v="400"/>
    <s v="MALAMSHA SHOP"/>
    <x v="31"/>
    <s v="0718 293 812"/>
    <x v="2"/>
    <x v="1"/>
    <x v="4"/>
    <n v="114"/>
    <m/>
  </r>
  <r>
    <n v="401"/>
    <s v="MUARABU SHOP"/>
    <x v="31"/>
    <s v="0715 212 928"/>
    <x v="2"/>
    <x v="1"/>
    <x v="0"/>
    <n v="844"/>
    <m/>
  </r>
  <r>
    <n v="402"/>
    <s v="RAMA MISIMA SHOP"/>
    <x v="31"/>
    <s v="0715 098 485"/>
    <x v="2"/>
    <x v="1"/>
    <x v="1"/>
    <n v="692"/>
    <m/>
  </r>
  <r>
    <n v="403"/>
    <s v="ENGWA SHOP"/>
    <x v="32"/>
    <s v="0623 253 067"/>
    <x v="2"/>
    <x v="1"/>
    <x v="2"/>
    <n v="231"/>
    <m/>
  </r>
  <r>
    <n v="404"/>
    <s v="BONDAGE DLDM"/>
    <x v="32"/>
    <s v="0625 327 819"/>
    <x v="1"/>
    <x v="1"/>
    <x v="3"/>
    <n v="639"/>
    <m/>
  </r>
  <r>
    <n v="405"/>
    <s v="MSAJE DLDM"/>
    <x v="32"/>
    <s v="0716 255 672"/>
    <x v="1"/>
    <x v="1"/>
    <x v="4"/>
    <n v="239"/>
    <m/>
  </r>
  <r>
    <n v="406"/>
    <s v="YOUNG BOY ONE DLDM"/>
    <x v="32"/>
    <s v="0715 796 645"/>
    <x v="1"/>
    <x v="1"/>
    <x v="0"/>
    <n v="554"/>
    <m/>
  </r>
  <r>
    <n v="407"/>
    <s v="WATATU DLDM"/>
    <x v="32"/>
    <s v="0623 616 981"/>
    <x v="1"/>
    <x v="1"/>
    <x v="1"/>
    <n v="738"/>
    <m/>
  </r>
  <r>
    <n v="408"/>
    <s v="LATIFA DLDM"/>
    <x v="32"/>
    <s v="0626 592 618"/>
    <x v="1"/>
    <x v="1"/>
    <x v="2"/>
    <n v="337"/>
    <m/>
  </r>
  <r>
    <n v="409"/>
    <s v="KWALUWALA"/>
    <x v="32"/>
    <s v="0652 295 599"/>
    <x v="2"/>
    <x v="1"/>
    <x v="3"/>
    <n v="128"/>
    <m/>
  </r>
  <r>
    <n v="410"/>
    <s v="MSAJE DISPENSARY"/>
    <x v="32"/>
    <m/>
    <x v="0"/>
    <x v="1"/>
    <x v="4"/>
    <n v="366"/>
    <m/>
  </r>
  <r>
    <n v="411"/>
    <s v="RICHARD DLDM"/>
    <x v="33"/>
    <s v="0757 836 538"/>
    <x v="1"/>
    <x v="1"/>
    <x v="0"/>
    <n v="267"/>
    <m/>
  </r>
  <r>
    <n v="412"/>
    <s v="NYEGEZI DLDM"/>
    <x v="33"/>
    <s v="0753 605 312"/>
    <x v="1"/>
    <x v="1"/>
    <x v="1"/>
    <n v="284"/>
    <m/>
  </r>
  <r>
    <n v="413"/>
    <s v="MAGALU DLDM"/>
    <x v="33"/>
    <s v="0623 244 976"/>
    <x v="1"/>
    <x v="1"/>
    <x v="2"/>
    <n v="398"/>
    <m/>
  </r>
  <r>
    <n v="414"/>
    <s v="KAN'GATA DISPENSARY"/>
    <x v="33"/>
    <m/>
    <x v="0"/>
    <x v="1"/>
    <x v="3"/>
    <n v="762"/>
    <m/>
  </r>
  <r>
    <n v="415"/>
    <s v="MAGRETH DLDM"/>
    <x v="34"/>
    <s v="0763 172 768"/>
    <x v="1"/>
    <x v="1"/>
    <x v="4"/>
    <n v="484"/>
    <m/>
  </r>
  <r>
    <n v="416"/>
    <s v="SHAFII DLDM"/>
    <x v="34"/>
    <s v="0626 961 091"/>
    <x v="1"/>
    <x v="1"/>
    <x v="0"/>
    <n v="733"/>
    <m/>
  </r>
  <r>
    <n v="417"/>
    <s v="MADEBE DISPENSARY"/>
    <x v="34"/>
    <m/>
    <x v="0"/>
    <x v="1"/>
    <x v="1"/>
    <n v="484"/>
    <m/>
  </r>
  <r>
    <n v="418"/>
    <s v="EBENEZER DLDM"/>
    <x v="35"/>
    <s v="0621 914 184"/>
    <x v="1"/>
    <x v="1"/>
    <x v="2"/>
    <n v="878"/>
    <m/>
  </r>
  <r>
    <n v="419"/>
    <s v="ZULFA DLDM"/>
    <x v="35"/>
    <s v="0692 313 377"/>
    <x v="1"/>
    <x v="1"/>
    <x v="3"/>
    <n v="570"/>
    <m/>
  </r>
  <r>
    <n v="420"/>
    <s v="FURAHA DLDM"/>
    <x v="36"/>
    <s v="0673 249 015"/>
    <x v="1"/>
    <x v="1"/>
    <x v="4"/>
    <n v="305"/>
    <m/>
  </r>
  <r>
    <n v="421"/>
    <s v="MANYEMA DLDM"/>
    <x v="36"/>
    <s v="0713 468 979"/>
    <x v="1"/>
    <x v="1"/>
    <x v="0"/>
    <n v="460"/>
    <m/>
  </r>
  <r>
    <n v="422"/>
    <s v="GUHANI DLDM"/>
    <x v="36"/>
    <s v="0714 186 000"/>
    <x v="1"/>
    <x v="1"/>
    <x v="1"/>
    <n v="195"/>
    <m/>
  </r>
  <r>
    <n v="423"/>
    <s v="MKULIMA SHOP"/>
    <x v="36"/>
    <s v="0674 690 814"/>
    <x v="2"/>
    <x v="1"/>
    <x v="2"/>
    <n v="221"/>
    <m/>
  </r>
  <r>
    <n v="424"/>
    <s v="PEACE AND LOVE ONE DLDM (MASALA)"/>
    <x v="37"/>
    <s v="0657 724 627"/>
    <x v="1"/>
    <x v="1"/>
    <x v="3"/>
    <n v="494"/>
    <m/>
  </r>
  <r>
    <n v="425"/>
    <s v="PEACE AND LOVE TWO DLDM"/>
    <x v="37"/>
    <s v="0657 724 627"/>
    <x v="1"/>
    <x v="1"/>
    <x v="4"/>
    <n v="751"/>
    <m/>
  </r>
  <r>
    <n v="426"/>
    <s v="MAOGOLAH DLDM"/>
    <x v="37"/>
    <s v="0655 527 862, 0742 274 576"/>
    <x v="1"/>
    <x v="1"/>
    <x v="0"/>
    <n v="967"/>
    <m/>
  </r>
  <r>
    <n v="427"/>
    <s v="MLIMANI DLDM"/>
    <x v="37"/>
    <s v="0672 033 103"/>
    <x v="1"/>
    <x v="1"/>
    <x v="1"/>
    <n v="30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6AAD0F-855C-4CBE-8234-7B1332EB7781}"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3" firstHeaderRow="1" firstDataRow="2" firstDataCol="1"/>
  <pivotFields count="9">
    <pivotField showAll="0"/>
    <pivotField showAll="0"/>
    <pivotField axis="axisRow" showAll="0">
      <items count="39">
        <item x="16"/>
        <item x="31"/>
        <item x="33"/>
        <item x="37"/>
        <item x="36"/>
        <item x="35"/>
        <item x="34"/>
        <item x="32"/>
        <item x="2"/>
        <item x="23"/>
        <item x="8"/>
        <item x="9"/>
        <item x="6"/>
        <item x="5"/>
        <item x="12"/>
        <item x="13"/>
        <item x="28"/>
        <item x="27"/>
        <item x="10"/>
        <item x="11"/>
        <item x="0"/>
        <item x="15"/>
        <item x="30"/>
        <item x="29"/>
        <item x="17"/>
        <item x="1"/>
        <item x="18"/>
        <item x="25"/>
        <item x="26"/>
        <item x="24"/>
        <item x="7"/>
        <item x="22"/>
        <item x="21"/>
        <item x="19"/>
        <item x="20"/>
        <item x="14"/>
        <item x="3"/>
        <item x="4"/>
        <item t="default"/>
      </items>
    </pivotField>
    <pivotField showAll="0"/>
    <pivotField showAll="0">
      <items count="5">
        <item h="1" x="1"/>
        <item h="1" x="0"/>
        <item x="2"/>
        <item h="1" x="3"/>
        <item t="default"/>
      </items>
    </pivotField>
    <pivotField axis="axisRow" showAll="0">
      <items count="3">
        <item x="0"/>
        <item h="1" x="1"/>
        <item t="default"/>
      </items>
    </pivotField>
    <pivotField axis="axisCol" showAll="0">
      <items count="6">
        <item h="1" x="0"/>
        <item h="1" x="4"/>
        <item h="1" x="2"/>
        <item x="1"/>
        <item h="1" x="3"/>
        <item t="default"/>
      </items>
    </pivotField>
    <pivotField dataField="1" showAll="0"/>
    <pivotField showAll="0"/>
  </pivotFields>
  <rowFields count="2">
    <field x="5"/>
    <field x="2"/>
  </rowFields>
  <rowItems count="9">
    <i>
      <x/>
    </i>
    <i r="1">
      <x/>
    </i>
    <i r="1">
      <x v="14"/>
    </i>
    <i r="1">
      <x v="15"/>
    </i>
    <i r="1">
      <x v="19"/>
    </i>
    <i r="1">
      <x v="25"/>
    </i>
    <i r="1">
      <x v="26"/>
    </i>
    <i r="1">
      <x v="35"/>
    </i>
    <i t="grand">
      <x/>
    </i>
  </rowItems>
  <colFields count="1">
    <field x="6"/>
  </colFields>
  <colItems count="2">
    <i>
      <x v="3"/>
    </i>
    <i t="grand">
      <x/>
    </i>
  </colItems>
  <dataFields count="1">
    <dataField name="Sum of Units" fld="7" baseField="0" baseItem="0"/>
  </dataFields>
  <chartFormats count="9">
    <chartFormat chart="3" format="13" series="1">
      <pivotArea type="data" outline="0" fieldPosition="0">
        <references count="1">
          <reference field="6" count="1" selected="0">
            <x v="1"/>
          </reference>
        </references>
      </pivotArea>
    </chartFormat>
    <chartFormat chart="3" format="14" series="1">
      <pivotArea type="data" outline="0" fieldPosition="0">
        <references count="1">
          <reference field="6" count="1" selected="0">
            <x v="2"/>
          </reference>
        </references>
      </pivotArea>
    </chartFormat>
    <chartFormat chart="3" format="15" series="1">
      <pivotArea type="data" outline="0" fieldPosition="0">
        <references count="1">
          <reference field="6" count="1" selected="0">
            <x v="3"/>
          </reference>
        </references>
      </pivotArea>
    </chartFormat>
    <chartFormat chart="3" format="16" series="1">
      <pivotArea type="data" outline="0" fieldPosition="0">
        <references count="1">
          <reference field="6" count="1" selected="0">
            <x v="4"/>
          </reference>
        </references>
      </pivotArea>
    </chartFormat>
    <chartFormat chart="3" format="17" series="1">
      <pivotArea type="data" outline="0" fieldPosition="0">
        <references count="1">
          <reference field="6" count="1" selected="0">
            <x v="0"/>
          </reference>
        </references>
      </pivotArea>
    </chartFormat>
    <chartFormat chart="3" format="19" series="1">
      <pivotArea type="data" outline="0" fieldPosition="0">
        <references count="2">
          <reference field="4294967294" count="1" selected="0">
            <x v="0"/>
          </reference>
          <reference field="6" count="1" selected="0">
            <x v="1"/>
          </reference>
        </references>
      </pivotArea>
    </chartFormat>
    <chartFormat chart="3" format="20" series="1">
      <pivotArea type="data" outline="0" fieldPosition="0">
        <references count="2">
          <reference field="4294967294" count="1" selected="0">
            <x v="0"/>
          </reference>
          <reference field="6" count="1" selected="0">
            <x v="2"/>
          </reference>
        </references>
      </pivotArea>
    </chartFormat>
    <chartFormat chart="3" format="21" series="1">
      <pivotArea type="data" outline="0" fieldPosition="0">
        <references count="2">
          <reference field="4294967294" count="1" selected="0">
            <x v="0"/>
          </reference>
          <reference field="6" count="1" selected="0">
            <x v="3"/>
          </reference>
        </references>
      </pivotArea>
    </chartFormat>
    <chartFormat chart="3" format="22"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A07FC9-3D07-4041-A730-33A60AC6D280}"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9">
    <pivotField showAll="0"/>
    <pivotField dataField="1" showAll="0"/>
    <pivotField showAll="0">
      <items count="39">
        <item x="16"/>
        <item x="31"/>
        <item x="33"/>
        <item x="37"/>
        <item x="36"/>
        <item x="35"/>
        <item x="34"/>
        <item x="32"/>
        <item x="2"/>
        <item x="23"/>
        <item x="8"/>
        <item x="9"/>
        <item x="6"/>
        <item x="5"/>
        <item x="12"/>
        <item x="13"/>
        <item x="28"/>
        <item x="27"/>
        <item x="10"/>
        <item x="11"/>
        <item x="0"/>
        <item x="15"/>
        <item x="30"/>
        <item x="29"/>
        <item x="17"/>
        <item x="1"/>
        <item x="18"/>
        <item x="25"/>
        <item x="26"/>
        <item x="24"/>
        <item x="7"/>
        <item x="22"/>
        <item x="21"/>
        <item x="19"/>
        <item x="20"/>
        <item x="14"/>
        <item x="3"/>
        <item x="4"/>
        <item t="default"/>
      </items>
    </pivotField>
    <pivotField showAll="0"/>
    <pivotField showAll="0">
      <items count="5">
        <item h="1" x="1"/>
        <item h="1" x="0"/>
        <item x="2"/>
        <item h="1" x="3"/>
        <item t="default"/>
      </items>
    </pivotField>
    <pivotField axis="axisRow" showAll="0">
      <items count="3">
        <item x="0"/>
        <item h="1" x="1"/>
        <item t="default"/>
      </items>
    </pivotField>
    <pivotField showAll="0">
      <items count="6">
        <item h="1" x="0"/>
        <item h="1" x="4"/>
        <item h="1" x="2"/>
        <item x="1"/>
        <item h="1" x="3"/>
        <item t="default"/>
      </items>
    </pivotField>
    <pivotField showAll="0"/>
    <pivotField showAll="0"/>
  </pivotFields>
  <rowFields count="1">
    <field x="5"/>
  </rowFields>
  <rowItems count="2">
    <i>
      <x/>
    </i>
    <i t="grand">
      <x/>
    </i>
  </rowItems>
  <colItems count="1">
    <i/>
  </colItems>
  <dataFields count="1">
    <dataField name="Count of CLIENT NAME" fld="1"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F30EDF-77B7-4AD8-8605-59EC2C424125}" name="PivotTable4" cacheId="2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9">
    <pivotField showAll="0"/>
    <pivotField showAll="0"/>
    <pivotField showAll="0">
      <items count="39">
        <item x="16"/>
        <item x="31"/>
        <item x="33"/>
        <item x="37"/>
        <item x="36"/>
        <item x="35"/>
        <item x="34"/>
        <item x="32"/>
        <item x="2"/>
        <item x="23"/>
        <item x="8"/>
        <item x="9"/>
        <item x="6"/>
        <item x="5"/>
        <item x="12"/>
        <item x="13"/>
        <item x="28"/>
        <item x="27"/>
        <item x="10"/>
        <item x="11"/>
        <item x="0"/>
        <item x="15"/>
        <item x="30"/>
        <item x="29"/>
        <item x="17"/>
        <item x="1"/>
        <item x="18"/>
        <item x="25"/>
        <item x="26"/>
        <item x="24"/>
        <item x="7"/>
        <item x="22"/>
        <item x="21"/>
        <item x="19"/>
        <item x="20"/>
        <item x="14"/>
        <item x="3"/>
        <item x="4"/>
        <item t="default"/>
      </items>
    </pivotField>
    <pivotField showAll="0"/>
    <pivotField showAll="0">
      <items count="5">
        <item h="1" x="1"/>
        <item h="1" x="0"/>
        <item x="2"/>
        <item h="1" x="3"/>
        <item t="default"/>
      </items>
    </pivotField>
    <pivotField showAll="0">
      <items count="3">
        <item x="0"/>
        <item h="1" x="1"/>
        <item t="default"/>
      </items>
    </pivotField>
    <pivotField axis="axisRow" showAll="0">
      <items count="6">
        <item h="1" x="0"/>
        <item h="1" x="4"/>
        <item h="1" x="2"/>
        <item x="1"/>
        <item h="1" x="3"/>
        <item t="default"/>
      </items>
    </pivotField>
    <pivotField dataField="1" showAll="0"/>
    <pivotField showAll="0"/>
  </pivotFields>
  <rowFields count="1">
    <field x="6"/>
  </rowFields>
  <rowItems count="2">
    <i>
      <x v="3"/>
    </i>
    <i t="grand">
      <x/>
    </i>
  </rowItems>
  <colItems count="1">
    <i/>
  </colItems>
  <dataFields count="1">
    <dataField name="Sum of Units" fld="7" baseField="0" baseItem="0"/>
  </dataFields>
  <chartFormats count="1">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2A245F6-4041-4C81-8FC3-DAD9A8E430F1}" sourceName="LOCATION">
  <pivotTables>
    <pivotTable tabId="6" name="PivotTable3"/>
    <pivotTable tabId="4" name="PivotTable2"/>
    <pivotTable tabId="7" name="PivotTable4"/>
  </pivotTables>
  <data>
    <tabular pivotCacheId="1403994372">
      <items count="38">
        <i x="16" s="1"/>
        <i x="12" s="1"/>
        <i x="13" s="1"/>
        <i x="11" s="1"/>
        <i x="1" s="1"/>
        <i x="18" s="1"/>
        <i x="14" s="1"/>
        <i x="31" s="1" nd="1"/>
        <i x="33" s="1" nd="1"/>
        <i x="37" s="1" nd="1"/>
        <i x="36" s="1" nd="1"/>
        <i x="35" s="1" nd="1"/>
        <i x="34" s="1" nd="1"/>
        <i x="32" s="1" nd="1"/>
        <i x="2" s="1" nd="1"/>
        <i x="23" s="1" nd="1"/>
        <i x="8" s="1" nd="1"/>
        <i x="9" s="1" nd="1"/>
        <i x="6" s="1" nd="1"/>
        <i x="5" s="1" nd="1"/>
        <i x="28" s="1" nd="1"/>
        <i x="27" s="1" nd="1"/>
        <i x="10" s="1" nd="1"/>
        <i x="0" s="1" nd="1"/>
        <i x="15" s="1" nd="1"/>
        <i x="30" s="1" nd="1"/>
        <i x="29" s="1" nd="1"/>
        <i x="17" s="1" nd="1"/>
        <i x="25" s="1" nd="1"/>
        <i x="26" s="1" nd="1"/>
        <i x="24" s="1" nd="1"/>
        <i x="7" s="1" nd="1"/>
        <i x="22" s="1" nd="1"/>
        <i x="21" s="1" nd="1"/>
        <i x="19" s="1" nd="1"/>
        <i x="20" s="1" nd="1"/>
        <i x="3"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3EEB62C-73F9-4E23-8C55-07040431E270}" sourceName="CATEGORY">
  <pivotTables>
    <pivotTable tabId="6" name="PivotTable3"/>
    <pivotTable tabId="4" name="PivotTable2"/>
    <pivotTable tabId="7" name="PivotTable4"/>
  </pivotTables>
  <data>
    <tabular pivotCacheId="1403994372">
      <items count="4">
        <i x="1"/>
        <i x="0"/>
        <i x="2"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BB7A8EBB-3A20-4A9A-B044-52D453055001}" sourceName="TERRITORY">
  <pivotTables>
    <pivotTable tabId="6" name="PivotTable3"/>
    <pivotTable tabId="4" name="PivotTable2"/>
    <pivotTable tabId="7" name="PivotTable4"/>
  </pivotTables>
  <data>
    <tabular pivotCacheId="1403994372">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3A112CC-1304-40AB-814D-74BBB1E6FBDC}" sourceName="Product">
  <pivotTables>
    <pivotTable tabId="7" name="PivotTable4"/>
    <pivotTable tabId="4" name="PivotTable2"/>
    <pivotTable tabId="6" name="PivotTable3"/>
  </pivotTables>
  <data>
    <tabular pivotCacheId="1403994372">
      <items count="5">
        <i x="0"/>
        <i x="4"/>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8C0E0D51-5003-48E9-ADD2-A956E7B95917}" cache="Slicer_LOCATION" caption="LOCATION" rowHeight="234950"/>
  <slicer name="CATEGORY" xr10:uid="{A4872431-9B64-4608-8AC4-74028231C4FD}" cache="Slicer_CATEGORY" caption="CATEGORY" rowHeight="234950"/>
  <slicer name="TERRITORY" xr10:uid="{8A7E104B-2DE4-4010-9857-DA7001042937}" cache="Slicer_TERRITORY" caption="TERRITORY" rowHeight="234950"/>
  <slicer name="Product" xr10:uid="{A58D5EDD-D647-4E1A-9A02-29677CE504F8}"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DA0320-89AF-446B-A488-936754975DAC}" name="Table1" displayName="Table1" ref="A1:I428" totalsRowShown="0">
  <autoFilter ref="A1:I428" xr:uid="{9EDA0320-89AF-446B-A488-936754975DAC}"/>
  <tableColumns count="9">
    <tableColumn id="1" xr3:uid="{E48383A2-355B-42F7-95B9-75A96C2CC4C6}" name="NS"/>
    <tableColumn id="2" xr3:uid="{006D943B-B37B-4823-9175-7EC8C781CCFF}" name="CLIENT NAME"/>
    <tableColumn id="3" xr3:uid="{0C90C186-12E4-4689-86BC-9B9C76FE59C5}" name="LOCATION"/>
    <tableColumn id="4" xr3:uid="{3F296084-9C78-4471-939C-A75FC6DC5F0D}" name="CONTACT"/>
    <tableColumn id="5" xr3:uid="{C42DE594-7EBD-4F99-8F76-980C18D6A99E}" name="CATEGORY"/>
    <tableColumn id="6" xr3:uid="{670057BD-95DA-47E3-BFC2-534AC75225BE}" name="TERRITORY"/>
    <tableColumn id="7" xr3:uid="{5500910F-E830-4872-8E56-5FF4366D44BB}" name="Product"/>
    <tableColumn id="8" xr3:uid="{65D82AAB-647E-4814-B82F-0A1F7D83DEFD}" name="Units"/>
    <tableColumn id="12" xr3:uid="{962BD102-4C2D-437F-8723-8253241D85DA}" name="A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EBFE-10FC-4D81-8C8E-63DD04063A08}">
  <dimension ref="B2:R2"/>
  <sheetViews>
    <sheetView tabSelected="1" topLeftCell="A2" workbookViewId="0">
      <selection activeCell="P2" sqref="P2:R2"/>
    </sheetView>
  </sheetViews>
  <sheetFormatPr defaultRowHeight="14.4" x14ac:dyDescent="0.3"/>
  <cols>
    <col min="1" max="1" width="3.109375" customWidth="1"/>
    <col min="3" max="3" width="8.88671875" customWidth="1"/>
  </cols>
  <sheetData>
    <row r="2" spans="2:18" ht="46.2" customHeight="1" x14ac:dyDescent="0.3">
      <c r="B2" s="8" t="s">
        <v>879</v>
      </c>
      <c r="C2" s="8"/>
      <c r="D2" s="8"/>
      <c r="E2" s="8"/>
      <c r="F2" s="8"/>
      <c r="G2" s="8"/>
      <c r="H2" s="8"/>
      <c r="I2" s="8"/>
      <c r="J2" s="8"/>
      <c r="K2" s="8"/>
      <c r="L2" s="8"/>
      <c r="M2" s="8"/>
      <c r="N2" s="8"/>
      <c r="O2" s="8"/>
      <c r="P2" s="9">
        <f xml:space="preserve"> All!$D$9</f>
        <v>0</v>
      </c>
      <c r="Q2" s="9"/>
      <c r="R2" s="9"/>
    </row>
  </sheetData>
  <mergeCells count="2">
    <mergeCell ref="B2:O2"/>
    <mergeCell ref="P2: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3AAFF-2C36-4651-9DD8-3B69F21CBC0F}">
  <dimension ref="A3:C377"/>
  <sheetViews>
    <sheetView topLeftCell="A7" workbookViewId="0">
      <selection activeCell="D10" sqref="D10"/>
    </sheetView>
  </sheetViews>
  <sheetFormatPr defaultRowHeight="14.4" x14ac:dyDescent="0.3"/>
  <cols>
    <col min="1" max="1" width="13.5546875" bestFit="1" customWidth="1"/>
    <col min="2" max="2" width="15.5546875" bestFit="1" customWidth="1"/>
    <col min="3" max="3" width="10.77734375" style="6" bestFit="1" customWidth="1"/>
    <col min="4" max="4" width="6.109375" bestFit="1" customWidth="1"/>
    <col min="5" max="5" width="6" bestFit="1" customWidth="1"/>
    <col min="6" max="6" width="7.5546875" bestFit="1" customWidth="1"/>
    <col min="7" max="7" width="10.77734375" bestFit="1" customWidth="1"/>
    <col min="8" max="8" width="20.6640625" bestFit="1" customWidth="1"/>
    <col min="9" max="9" width="12.33203125" bestFit="1" customWidth="1"/>
    <col min="10" max="10" width="20.6640625" bestFit="1" customWidth="1"/>
    <col min="11" max="11" width="12.33203125" bestFit="1" customWidth="1"/>
    <col min="12" max="12" width="23.21875" bestFit="1" customWidth="1"/>
    <col min="13" max="13" width="12.33203125" bestFit="1" customWidth="1"/>
    <col min="14" max="14" width="20.6640625" bestFit="1" customWidth="1"/>
    <col min="15" max="15" width="12.33203125" bestFit="1" customWidth="1"/>
    <col min="16" max="16" width="20.6640625" bestFit="1" customWidth="1"/>
    <col min="17" max="17" width="12.33203125" bestFit="1" customWidth="1"/>
    <col min="18" max="18" width="20.6640625" bestFit="1" customWidth="1"/>
    <col min="19" max="19" width="12.33203125" bestFit="1" customWidth="1"/>
    <col min="20" max="20" width="20.6640625" bestFit="1" customWidth="1"/>
    <col min="21" max="21" width="12.33203125" bestFit="1" customWidth="1"/>
    <col min="22" max="22" width="20.6640625" bestFit="1" customWidth="1"/>
    <col min="23" max="23" width="12.33203125" bestFit="1" customWidth="1"/>
    <col min="24" max="24" width="20.6640625" bestFit="1" customWidth="1"/>
    <col min="25" max="25" width="12.33203125" bestFit="1" customWidth="1"/>
    <col min="26" max="26" width="20.6640625" bestFit="1" customWidth="1"/>
    <col min="27" max="27" width="12.33203125" bestFit="1" customWidth="1"/>
    <col min="28" max="28" width="20.6640625" bestFit="1" customWidth="1"/>
    <col min="29" max="29" width="12.33203125" bestFit="1" customWidth="1"/>
    <col min="30" max="30" width="20.6640625" bestFit="1" customWidth="1"/>
    <col min="31" max="31" width="12.33203125" bestFit="1" customWidth="1"/>
    <col min="32" max="32" width="20.6640625" bestFit="1" customWidth="1"/>
    <col min="33" max="33" width="12.33203125" bestFit="1" customWidth="1"/>
    <col min="34" max="34" width="20.6640625" bestFit="1" customWidth="1"/>
    <col min="35" max="35" width="12.33203125" bestFit="1" customWidth="1"/>
    <col min="36" max="36" width="20.6640625" bestFit="1" customWidth="1"/>
    <col min="37" max="37" width="12.33203125" bestFit="1" customWidth="1"/>
    <col min="38" max="38" width="20.6640625" bestFit="1" customWidth="1"/>
    <col min="39" max="39" width="12.33203125" bestFit="1" customWidth="1"/>
    <col min="40" max="40" width="20.6640625" bestFit="1" customWidth="1"/>
    <col min="41" max="41" width="12.33203125" bestFit="1" customWidth="1"/>
    <col min="42" max="42" width="20.6640625" bestFit="1" customWidth="1"/>
    <col min="43" max="43" width="12.33203125" bestFit="1" customWidth="1"/>
    <col min="44" max="44" width="20.6640625" bestFit="1" customWidth="1"/>
    <col min="45" max="45" width="12.33203125" bestFit="1" customWidth="1"/>
    <col min="46" max="46" width="20.6640625" bestFit="1" customWidth="1"/>
    <col min="47" max="47" width="12.33203125" bestFit="1" customWidth="1"/>
    <col min="48" max="48" width="20.6640625" bestFit="1" customWidth="1"/>
    <col min="49" max="49" width="12.33203125" bestFit="1" customWidth="1"/>
    <col min="50" max="50" width="20.6640625" bestFit="1" customWidth="1"/>
    <col min="51" max="51" width="12.33203125" bestFit="1" customWidth="1"/>
    <col min="52" max="52" width="20.6640625" bestFit="1" customWidth="1"/>
    <col min="53" max="53" width="12.33203125" bestFit="1" customWidth="1"/>
    <col min="54" max="54" width="20.6640625" bestFit="1" customWidth="1"/>
    <col min="55" max="55" width="12.33203125" bestFit="1" customWidth="1"/>
    <col min="56" max="56" width="20.6640625" bestFit="1" customWidth="1"/>
    <col min="57" max="57" width="12.33203125" bestFit="1" customWidth="1"/>
    <col min="58" max="58" width="20.6640625" bestFit="1" customWidth="1"/>
    <col min="59" max="59" width="12.33203125" bestFit="1" customWidth="1"/>
    <col min="60" max="60" width="20.6640625" bestFit="1" customWidth="1"/>
    <col min="61" max="61" width="12.33203125" bestFit="1" customWidth="1"/>
    <col min="62" max="62" width="20.6640625" bestFit="1" customWidth="1"/>
    <col min="63" max="63" width="12.33203125" bestFit="1" customWidth="1"/>
    <col min="64" max="64" width="20.6640625" bestFit="1" customWidth="1"/>
    <col min="65" max="65" width="12.33203125" bestFit="1" customWidth="1"/>
    <col min="66" max="66" width="20.6640625" bestFit="1" customWidth="1"/>
    <col min="67" max="67" width="12.33203125" bestFit="1" customWidth="1"/>
    <col min="68" max="68" width="20.6640625" bestFit="1" customWidth="1"/>
    <col min="69" max="69" width="12.33203125" bestFit="1" customWidth="1"/>
    <col min="70" max="70" width="20.6640625" bestFit="1" customWidth="1"/>
    <col min="71" max="71" width="12.33203125" bestFit="1" customWidth="1"/>
    <col min="72" max="72" width="20.6640625" bestFit="1" customWidth="1"/>
    <col min="73" max="73" width="12.33203125" bestFit="1" customWidth="1"/>
    <col min="74" max="74" width="20.6640625" bestFit="1" customWidth="1"/>
    <col min="75" max="75" width="12.33203125" bestFit="1" customWidth="1"/>
    <col min="76" max="76" width="20.6640625" bestFit="1" customWidth="1"/>
    <col min="77" max="77" width="12.33203125" bestFit="1" customWidth="1"/>
    <col min="78" max="78" width="25.5546875" bestFit="1" customWidth="1"/>
    <col min="79" max="79" width="17.21875" bestFit="1" customWidth="1"/>
  </cols>
  <sheetData>
    <row r="3" spans="1:3" x14ac:dyDescent="0.3">
      <c r="A3" s="3" t="s">
        <v>883</v>
      </c>
      <c r="B3" s="3" t="s">
        <v>878</v>
      </c>
      <c r="C3"/>
    </row>
    <row r="4" spans="1:3" x14ac:dyDescent="0.3">
      <c r="A4" s="3" t="s">
        <v>875</v>
      </c>
      <c r="B4" t="s">
        <v>870</v>
      </c>
      <c r="C4" t="s">
        <v>876</v>
      </c>
    </row>
    <row r="5" spans="1:3" x14ac:dyDescent="0.3">
      <c r="A5" s="4" t="s">
        <v>10</v>
      </c>
      <c r="B5" s="5">
        <v>3998</v>
      </c>
      <c r="C5" s="5">
        <v>3998</v>
      </c>
    </row>
    <row r="6" spans="1:3" x14ac:dyDescent="0.3">
      <c r="A6" s="7" t="s">
        <v>283</v>
      </c>
      <c r="B6" s="5">
        <v>160</v>
      </c>
      <c r="C6" s="5">
        <v>160</v>
      </c>
    </row>
    <row r="7" spans="1:3" x14ac:dyDescent="0.3">
      <c r="A7" s="7" t="s">
        <v>159</v>
      </c>
      <c r="B7" s="5">
        <v>947</v>
      </c>
      <c r="C7" s="5">
        <v>947</v>
      </c>
    </row>
    <row r="8" spans="1:3" x14ac:dyDescent="0.3">
      <c r="A8" s="7" t="s">
        <v>162</v>
      </c>
      <c r="B8" s="5">
        <v>792</v>
      </c>
      <c r="C8" s="5">
        <v>792</v>
      </c>
    </row>
    <row r="9" spans="1:3" x14ac:dyDescent="0.3">
      <c r="A9" s="7" t="s">
        <v>137</v>
      </c>
      <c r="B9" s="5">
        <v>219</v>
      </c>
      <c r="C9" s="5">
        <v>219</v>
      </c>
    </row>
    <row r="10" spans="1:3" x14ac:dyDescent="0.3">
      <c r="A10" s="7" t="s">
        <v>17</v>
      </c>
      <c r="B10" s="5">
        <v>602</v>
      </c>
      <c r="C10" s="5">
        <v>602</v>
      </c>
    </row>
    <row r="11" spans="1:3" x14ac:dyDescent="0.3">
      <c r="A11" s="7" t="s">
        <v>322</v>
      </c>
      <c r="B11" s="5">
        <v>820</v>
      </c>
      <c r="C11" s="5">
        <v>820</v>
      </c>
    </row>
    <row r="12" spans="1:3" x14ac:dyDescent="0.3">
      <c r="A12" s="7" t="s">
        <v>177</v>
      </c>
      <c r="B12" s="5">
        <v>458</v>
      </c>
      <c r="C12" s="5">
        <v>458</v>
      </c>
    </row>
    <row r="13" spans="1:3" x14ac:dyDescent="0.3">
      <c r="A13" s="4" t="s">
        <v>876</v>
      </c>
      <c r="B13" s="5">
        <v>3998</v>
      </c>
      <c r="C13" s="5">
        <v>3998</v>
      </c>
    </row>
    <row r="14" spans="1:3" x14ac:dyDescent="0.3">
      <c r="C14"/>
    </row>
    <row r="15" spans="1:3" x14ac:dyDescent="0.3">
      <c r="C15"/>
    </row>
    <row r="16" spans="1:3" x14ac:dyDescent="0.3">
      <c r="C16"/>
    </row>
    <row r="17" spans="3:3" x14ac:dyDescent="0.3">
      <c r="C17"/>
    </row>
    <row r="18" spans="3:3" x14ac:dyDescent="0.3">
      <c r="C18"/>
    </row>
    <row r="19" spans="3:3" x14ac:dyDescent="0.3">
      <c r="C19"/>
    </row>
    <row r="20" spans="3:3" x14ac:dyDescent="0.3">
      <c r="C20"/>
    </row>
    <row r="21" spans="3:3" x14ac:dyDescent="0.3">
      <c r="C21"/>
    </row>
    <row r="22" spans="3:3" x14ac:dyDescent="0.3">
      <c r="C22"/>
    </row>
    <row r="23" spans="3:3" x14ac:dyDescent="0.3">
      <c r="C23"/>
    </row>
    <row r="24" spans="3:3" x14ac:dyDescent="0.3">
      <c r="C24"/>
    </row>
    <row r="25" spans="3:3" x14ac:dyDescent="0.3">
      <c r="C25"/>
    </row>
    <row r="26" spans="3:3" x14ac:dyDescent="0.3">
      <c r="C26"/>
    </row>
    <row r="27" spans="3:3" x14ac:dyDescent="0.3">
      <c r="C27"/>
    </row>
    <row r="28" spans="3:3" x14ac:dyDescent="0.3">
      <c r="C28"/>
    </row>
    <row r="29" spans="3:3" x14ac:dyDescent="0.3">
      <c r="C29"/>
    </row>
    <row r="30" spans="3:3" x14ac:dyDescent="0.3">
      <c r="C30"/>
    </row>
    <row r="31" spans="3:3" x14ac:dyDescent="0.3">
      <c r="C31"/>
    </row>
    <row r="32" spans="3:3" x14ac:dyDescent="0.3">
      <c r="C32"/>
    </row>
    <row r="33" spans="3:3" x14ac:dyDescent="0.3">
      <c r="C33"/>
    </row>
    <row r="34" spans="3:3" x14ac:dyDescent="0.3">
      <c r="C34"/>
    </row>
    <row r="35" spans="3:3" x14ac:dyDescent="0.3">
      <c r="C35"/>
    </row>
    <row r="36" spans="3:3" x14ac:dyDescent="0.3">
      <c r="C36"/>
    </row>
    <row r="37" spans="3:3" x14ac:dyDescent="0.3">
      <c r="C37"/>
    </row>
    <row r="38" spans="3:3" x14ac:dyDescent="0.3">
      <c r="C38"/>
    </row>
    <row r="39" spans="3:3" x14ac:dyDescent="0.3">
      <c r="C39"/>
    </row>
    <row r="40" spans="3:3" x14ac:dyDescent="0.3">
      <c r="C40"/>
    </row>
    <row r="41" spans="3:3" x14ac:dyDescent="0.3">
      <c r="C41"/>
    </row>
    <row r="42" spans="3:3" x14ac:dyDescent="0.3">
      <c r="C42"/>
    </row>
    <row r="43" spans="3:3" x14ac:dyDescent="0.3">
      <c r="C43"/>
    </row>
    <row r="44" spans="3:3" x14ac:dyDescent="0.3">
      <c r="C44"/>
    </row>
    <row r="45" spans="3:3" x14ac:dyDescent="0.3">
      <c r="C45"/>
    </row>
    <row r="46" spans="3:3" x14ac:dyDescent="0.3">
      <c r="C46"/>
    </row>
    <row r="47" spans="3:3" x14ac:dyDescent="0.3">
      <c r="C47"/>
    </row>
    <row r="48" spans="3:3" x14ac:dyDescent="0.3">
      <c r="C48"/>
    </row>
    <row r="49" spans="3:3" x14ac:dyDescent="0.3">
      <c r="C49"/>
    </row>
    <row r="50" spans="3:3" x14ac:dyDescent="0.3">
      <c r="C50"/>
    </row>
    <row r="51" spans="3:3" x14ac:dyDescent="0.3">
      <c r="C51"/>
    </row>
    <row r="52" spans="3:3" x14ac:dyDescent="0.3">
      <c r="C52"/>
    </row>
    <row r="53" spans="3:3" x14ac:dyDescent="0.3">
      <c r="C53"/>
    </row>
    <row r="54" spans="3:3" x14ac:dyDescent="0.3">
      <c r="C54"/>
    </row>
    <row r="55" spans="3:3" x14ac:dyDescent="0.3">
      <c r="C55"/>
    </row>
    <row r="56" spans="3:3" x14ac:dyDescent="0.3">
      <c r="C56"/>
    </row>
    <row r="57" spans="3:3" x14ac:dyDescent="0.3">
      <c r="C57"/>
    </row>
    <row r="58" spans="3:3" x14ac:dyDescent="0.3">
      <c r="C58"/>
    </row>
    <row r="59" spans="3:3" x14ac:dyDescent="0.3">
      <c r="C59"/>
    </row>
    <row r="60" spans="3:3" x14ac:dyDescent="0.3">
      <c r="C60"/>
    </row>
    <row r="61" spans="3:3" x14ac:dyDescent="0.3">
      <c r="C61"/>
    </row>
    <row r="62" spans="3:3" x14ac:dyDescent="0.3">
      <c r="C62"/>
    </row>
    <row r="63" spans="3:3" x14ac:dyDescent="0.3">
      <c r="C63"/>
    </row>
    <row r="64" spans="3:3"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row r="91" spans="3:3" x14ac:dyDescent="0.3">
      <c r="C91"/>
    </row>
    <row r="92" spans="3:3" x14ac:dyDescent="0.3">
      <c r="C92"/>
    </row>
    <row r="93" spans="3:3" x14ac:dyDescent="0.3">
      <c r="C93"/>
    </row>
    <row r="94" spans="3:3" x14ac:dyDescent="0.3">
      <c r="C94"/>
    </row>
    <row r="95" spans="3:3" x14ac:dyDescent="0.3">
      <c r="C95"/>
    </row>
    <row r="96" spans="3:3" x14ac:dyDescent="0.3">
      <c r="C96"/>
    </row>
    <row r="97" spans="3:3" x14ac:dyDescent="0.3">
      <c r="C97"/>
    </row>
    <row r="98" spans="3:3" x14ac:dyDescent="0.3">
      <c r="C98"/>
    </row>
    <row r="99" spans="3:3" x14ac:dyDescent="0.3">
      <c r="C99"/>
    </row>
    <row r="100" spans="3:3" x14ac:dyDescent="0.3">
      <c r="C100"/>
    </row>
    <row r="101" spans="3:3" x14ac:dyDescent="0.3">
      <c r="C101"/>
    </row>
    <row r="102" spans="3:3" x14ac:dyDescent="0.3">
      <c r="C102"/>
    </row>
    <row r="103" spans="3:3" x14ac:dyDescent="0.3">
      <c r="C103"/>
    </row>
    <row r="104" spans="3:3" x14ac:dyDescent="0.3">
      <c r="C104"/>
    </row>
    <row r="105" spans="3:3" x14ac:dyDescent="0.3">
      <c r="C105"/>
    </row>
    <row r="106" spans="3:3" x14ac:dyDescent="0.3">
      <c r="C106"/>
    </row>
    <row r="107" spans="3:3" x14ac:dyDescent="0.3">
      <c r="C107"/>
    </row>
    <row r="108" spans="3:3" x14ac:dyDescent="0.3">
      <c r="C108"/>
    </row>
    <row r="109" spans="3:3" x14ac:dyDescent="0.3">
      <c r="C109"/>
    </row>
    <row r="110" spans="3:3" x14ac:dyDescent="0.3">
      <c r="C110"/>
    </row>
    <row r="111" spans="3:3" x14ac:dyDescent="0.3">
      <c r="C111"/>
    </row>
    <row r="112" spans="3:3" x14ac:dyDescent="0.3">
      <c r="C112"/>
    </row>
    <row r="113" spans="3:3" x14ac:dyDescent="0.3">
      <c r="C113"/>
    </row>
    <row r="114" spans="3:3" x14ac:dyDescent="0.3">
      <c r="C114"/>
    </row>
    <row r="115" spans="3:3" x14ac:dyDescent="0.3">
      <c r="C115"/>
    </row>
    <row r="116" spans="3:3" x14ac:dyDescent="0.3">
      <c r="C116"/>
    </row>
    <row r="117" spans="3:3" x14ac:dyDescent="0.3">
      <c r="C117"/>
    </row>
    <row r="118" spans="3:3" x14ac:dyDescent="0.3">
      <c r="C118"/>
    </row>
    <row r="119" spans="3:3" x14ac:dyDescent="0.3">
      <c r="C119"/>
    </row>
    <row r="120" spans="3:3" x14ac:dyDescent="0.3">
      <c r="C120"/>
    </row>
    <row r="121" spans="3:3" x14ac:dyDescent="0.3">
      <c r="C121"/>
    </row>
    <row r="122" spans="3:3" x14ac:dyDescent="0.3">
      <c r="C122"/>
    </row>
    <row r="123" spans="3:3" x14ac:dyDescent="0.3">
      <c r="C123"/>
    </row>
    <row r="124" spans="3:3" x14ac:dyDescent="0.3">
      <c r="C124"/>
    </row>
    <row r="125" spans="3:3" x14ac:dyDescent="0.3">
      <c r="C125"/>
    </row>
    <row r="126" spans="3:3" x14ac:dyDescent="0.3">
      <c r="C126"/>
    </row>
    <row r="127" spans="3:3" x14ac:dyDescent="0.3">
      <c r="C127"/>
    </row>
    <row r="128" spans="3:3" x14ac:dyDescent="0.3">
      <c r="C128"/>
    </row>
    <row r="129" spans="3:3" x14ac:dyDescent="0.3">
      <c r="C129"/>
    </row>
    <row r="130" spans="3:3" x14ac:dyDescent="0.3">
      <c r="C130"/>
    </row>
    <row r="131" spans="3:3" x14ac:dyDescent="0.3">
      <c r="C131"/>
    </row>
    <row r="132" spans="3:3" x14ac:dyDescent="0.3">
      <c r="C132"/>
    </row>
    <row r="133" spans="3:3" x14ac:dyDescent="0.3">
      <c r="C133"/>
    </row>
    <row r="134" spans="3:3" x14ac:dyDescent="0.3">
      <c r="C134"/>
    </row>
    <row r="135" spans="3:3" x14ac:dyDescent="0.3">
      <c r="C135"/>
    </row>
    <row r="136" spans="3:3" x14ac:dyDescent="0.3">
      <c r="C136"/>
    </row>
    <row r="137" spans="3:3" x14ac:dyDescent="0.3">
      <c r="C137"/>
    </row>
    <row r="138" spans="3:3" x14ac:dyDescent="0.3">
      <c r="C138"/>
    </row>
    <row r="139" spans="3:3" x14ac:dyDescent="0.3">
      <c r="C139"/>
    </row>
    <row r="140" spans="3:3" x14ac:dyDescent="0.3">
      <c r="C140"/>
    </row>
    <row r="141" spans="3:3" x14ac:dyDescent="0.3">
      <c r="C141"/>
    </row>
    <row r="142" spans="3:3" x14ac:dyDescent="0.3">
      <c r="C142"/>
    </row>
    <row r="143" spans="3:3" x14ac:dyDescent="0.3">
      <c r="C143"/>
    </row>
    <row r="144" spans="3:3" x14ac:dyDescent="0.3">
      <c r="C144"/>
    </row>
    <row r="145" spans="3:3" x14ac:dyDescent="0.3">
      <c r="C145"/>
    </row>
    <row r="146" spans="3:3" x14ac:dyDescent="0.3">
      <c r="C146"/>
    </row>
    <row r="147" spans="3:3" x14ac:dyDescent="0.3">
      <c r="C147"/>
    </row>
    <row r="148" spans="3:3" x14ac:dyDescent="0.3">
      <c r="C148"/>
    </row>
    <row r="149" spans="3:3" x14ac:dyDescent="0.3">
      <c r="C149"/>
    </row>
    <row r="150" spans="3:3" x14ac:dyDescent="0.3">
      <c r="C150"/>
    </row>
    <row r="151" spans="3:3" x14ac:dyDescent="0.3">
      <c r="C151"/>
    </row>
    <row r="152" spans="3:3" x14ac:dyDescent="0.3">
      <c r="C152"/>
    </row>
    <row r="153" spans="3:3" x14ac:dyDescent="0.3">
      <c r="C153"/>
    </row>
    <row r="154" spans="3:3" x14ac:dyDescent="0.3">
      <c r="C154"/>
    </row>
    <row r="155" spans="3:3" x14ac:dyDescent="0.3">
      <c r="C155"/>
    </row>
    <row r="156" spans="3:3" x14ac:dyDescent="0.3">
      <c r="C156"/>
    </row>
    <row r="157" spans="3:3" x14ac:dyDescent="0.3">
      <c r="C157"/>
    </row>
    <row r="158" spans="3:3" x14ac:dyDescent="0.3">
      <c r="C158"/>
    </row>
    <row r="159" spans="3:3" x14ac:dyDescent="0.3">
      <c r="C159"/>
    </row>
    <row r="160" spans="3:3" x14ac:dyDescent="0.3">
      <c r="C160"/>
    </row>
    <row r="161" spans="3:3" x14ac:dyDescent="0.3">
      <c r="C161"/>
    </row>
    <row r="162" spans="3:3" x14ac:dyDescent="0.3">
      <c r="C162"/>
    </row>
    <row r="163" spans="3:3" x14ac:dyDescent="0.3">
      <c r="C163"/>
    </row>
    <row r="164" spans="3:3" x14ac:dyDescent="0.3">
      <c r="C164"/>
    </row>
    <row r="165" spans="3:3" x14ac:dyDescent="0.3">
      <c r="C165"/>
    </row>
    <row r="166" spans="3:3" x14ac:dyDescent="0.3">
      <c r="C166"/>
    </row>
    <row r="167" spans="3:3" x14ac:dyDescent="0.3">
      <c r="C167"/>
    </row>
    <row r="168" spans="3:3" x14ac:dyDescent="0.3">
      <c r="C168"/>
    </row>
    <row r="169" spans="3:3" x14ac:dyDescent="0.3">
      <c r="C169"/>
    </row>
    <row r="170" spans="3:3" x14ac:dyDescent="0.3">
      <c r="C170"/>
    </row>
    <row r="171" spans="3:3" x14ac:dyDescent="0.3">
      <c r="C171"/>
    </row>
    <row r="172" spans="3:3" x14ac:dyDescent="0.3">
      <c r="C172"/>
    </row>
    <row r="173" spans="3:3" x14ac:dyDescent="0.3">
      <c r="C173"/>
    </row>
    <row r="174" spans="3:3" x14ac:dyDescent="0.3">
      <c r="C174"/>
    </row>
    <row r="175" spans="3:3" x14ac:dyDescent="0.3">
      <c r="C175"/>
    </row>
    <row r="176" spans="3:3" x14ac:dyDescent="0.3">
      <c r="C176"/>
    </row>
    <row r="177" spans="3:3" x14ac:dyDescent="0.3">
      <c r="C177"/>
    </row>
    <row r="178" spans="3:3" x14ac:dyDescent="0.3">
      <c r="C178"/>
    </row>
    <row r="179" spans="3:3" x14ac:dyDescent="0.3">
      <c r="C179"/>
    </row>
    <row r="180" spans="3:3" x14ac:dyDescent="0.3">
      <c r="C180"/>
    </row>
    <row r="181" spans="3:3" x14ac:dyDescent="0.3">
      <c r="C181"/>
    </row>
    <row r="182" spans="3:3" x14ac:dyDescent="0.3">
      <c r="C182"/>
    </row>
    <row r="183" spans="3:3" x14ac:dyDescent="0.3">
      <c r="C183"/>
    </row>
    <row r="184" spans="3:3" x14ac:dyDescent="0.3">
      <c r="C184"/>
    </row>
    <row r="185" spans="3:3" x14ac:dyDescent="0.3">
      <c r="C185"/>
    </row>
    <row r="186" spans="3:3" x14ac:dyDescent="0.3">
      <c r="C186"/>
    </row>
    <row r="187" spans="3:3" x14ac:dyDescent="0.3">
      <c r="C187"/>
    </row>
    <row r="188" spans="3:3" x14ac:dyDescent="0.3">
      <c r="C188"/>
    </row>
    <row r="189" spans="3:3" x14ac:dyDescent="0.3">
      <c r="C189"/>
    </row>
    <row r="190" spans="3:3" x14ac:dyDescent="0.3">
      <c r="C190"/>
    </row>
    <row r="191" spans="3:3" x14ac:dyDescent="0.3">
      <c r="C191"/>
    </row>
    <row r="192" spans="3:3" x14ac:dyDescent="0.3">
      <c r="C192"/>
    </row>
    <row r="193" spans="3:3" x14ac:dyDescent="0.3">
      <c r="C193"/>
    </row>
    <row r="194" spans="3:3" x14ac:dyDescent="0.3">
      <c r="C194"/>
    </row>
    <row r="195" spans="3:3" x14ac:dyDescent="0.3">
      <c r="C195"/>
    </row>
    <row r="196" spans="3:3" x14ac:dyDescent="0.3">
      <c r="C196"/>
    </row>
    <row r="197" spans="3:3" x14ac:dyDescent="0.3">
      <c r="C197"/>
    </row>
    <row r="198" spans="3:3" x14ac:dyDescent="0.3">
      <c r="C198"/>
    </row>
    <row r="199" spans="3:3" x14ac:dyDescent="0.3">
      <c r="C199"/>
    </row>
    <row r="200" spans="3:3" x14ac:dyDescent="0.3">
      <c r="C200"/>
    </row>
    <row r="201" spans="3:3" x14ac:dyDescent="0.3">
      <c r="C201"/>
    </row>
    <row r="202" spans="3:3" x14ac:dyDescent="0.3">
      <c r="C202"/>
    </row>
    <row r="203" spans="3:3" x14ac:dyDescent="0.3">
      <c r="C203"/>
    </row>
    <row r="204" spans="3:3" x14ac:dyDescent="0.3">
      <c r="C204"/>
    </row>
    <row r="205" spans="3:3" x14ac:dyDescent="0.3">
      <c r="C205"/>
    </row>
    <row r="206" spans="3:3" x14ac:dyDescent="0.3">
      <c r="C206"/>
    </row>
    <row r="207" spans="3:3" x14ac:dyDescent="0.3">
      <c r="C207"/>
    </row>
    <row r="208" spans="3:3" x14ac:dyDescent="0.3">
      <c r="C208"/>
    </row>
    <row r="209" spans="3:3" x14ac:dyDescent="0.3">
      <c r="C209"/>
    </row>
    <row r="210" spans="3:3" x14ac:dyDescent="0.3">
      <c r="C210"/>
    </row>
    <row r="211" spans="3:3" x14ac:dyDescent="0.3">
      <c r="C211"/>
    </row>
    <row r="212" spans="3:3" x14ac:dyDescent="0.3">
      <c r="C212"/>
    </row>
    <row r="213" spans="3:3" x14ac:dyDescent="0.3">
      <c r="C213"/>
    </row>
    <row r="214" spans="3:3" x14ac:dyDescent="0.3">
      <c r="C214"/>
    </row>
    <row r="215" spans="3:3" x14ac:dyDescent="0.3">
      <c r="C215"/>
    </row>
    <row r="216" spans="3:3" x14ac:dyDescent="0.3">
      <c r="C216"/>
    </row>
    <row r="217" spans="3:3" x14ac:dyDescent="0.3">
      <c r="C217"/>
    </row>
    <row r="218" spans="3:3" x14ac:dyDescent="0.3">
      <c r="C218"/>
    </row>
    <row r="219" spans="3:3" x14ac:dyDescent="0.3">
      <c r="C219"/>
    </row>
    <row r="220" spans="3:3" x14ac:dyDescent="0.3">
      <c r="C220"/>
    </row>
    <row r="221" spans="3:3" x14ac:dyDescent="0.3">
      <c r="C221"/>
    </row>
    <row r="222" spans="3:3" x14ac:dyDescent="0.3">
      <c r="C222"/>
    </row>
    <row r="223" spans="3:3" x14ac:dyDescent="0.3">
      <c r="C223"/>
    </row>
    <row r="224" spans="3:3" x14ac:dyDescent="0.3">
      <c r="C224"/>
    </row>
    <row r="225" spans="3:3" x14ac:dyDescent="0.3">
      <c r="C225"/>
    </row>
    <row r="226" spans="3:3" x14ac:dyDescent="0.3">
      <c r="C226"/>
    </row>
    <row r="227" spans="3:3" x14ac:dyDescent="0.3">
      <c r="C227"/>
    </row>
    <row r="228" spans="3:3" x14ac:dyDescent="0.3">
      <c r="C228"/>
    </row>
    <row r="229" spans="3:3" x14ac:dyDescent="0.3">
      <c r="C229"/>
    </row>
    <row r="230" spans="3:3" x14ac:dyDescent="0.3">
      <c r="C230"/>
    </row>
    <row r="231" spans="3:3" x14ac:dyDescent="0.3">
      <c r="C231"/>
    </row>
    <row r="232" spans="3:3" x14ac:dyDescent="0.3">
      <c r="C232"/>
    </row>
    <row r="233" spans="3:3" x14ac:dyDescent="0.3">
      <c r="C233"/>
    </row>
    <row r="234" spans="3:3" x14ac:dyDescent="0.3">
      <c r="C234"/>
    </row>
    <row r="235" spans="3:3" x14ac:dyDescent="0.3">
      <c r="C235"/>
    </row>
    <row r="236" spans="3:3" x14ac:dyDescent="0.3">
      <c r="C236"/>
    </row>
    <row r="237" spans="3:3" x14ac:dyDescent="0.3">
      <c r="C237"/>
    </row>
    <row r="238" spans="3:3" x14ac:dyDescent="0.3">
      <c r="C238"/>
    </row>
    <row r="239" spans="3:3" x14ac:dyDescent="0.3">
      <c r="C239"/>
    </row>
    <row r="240" spans="3:3" x14ac:dyDescent="0.3">
      <c r="C240"/>
    </row>
    <row r="241" spans="3:3" x14ac:dyDescent="0.3">
      <c r="C241"/>
    </row>
    <row r="242" spans="3:3" x14ac:dyDescent="0.3">
      <c r="C242"/>
    </row>
    <row r="243" spans="3:3" x14ac:dyDescent="0.3">
      <c r="C243"/>
    </row>
    <row r="244" spans="3:3" x14ac:dyDescent="0.3">
      <c r="C244"/>
    </row>
    <row r="245" spans="3:3" x14ac:dyDescent="0.3">
      <c r="C245"/>
    </row>
    <row r="246" spans="3:3" x14ac:dyDescent="0.3">
      <c r="C246"/>
    </row>
    <row r="247" spans="3:3" x14ac:dyDescent="0.3">
      <c r="C247"/>
    </row>
    <row r="248" spans="3:3" x14ac:dyDescent="0.3">
      <c r="C248"/>
    </row>
    <row r="249" spans="3:3" x14ac:dyDescent="0.3">
      <c r="C249"/>
    </row>
    <row r="250" spans="3:3" x14ac:dyDescent="0.3">
      <c r="C250"/>
    </row>
    <row r="251" spans="3:3" x14ac:dyDescent="0.3">
      <c r="C251"/>
    </row>
    <row r="252" spans="3:3" x14ac:dyDescent="0.3">
      <c r="C252"/>
    </row>
    <row r="253" spans="3:3" x14ac:dyDescent="0.3">
      <c r="C253"/>
    </row>
    <row r="254" spans="3:3" x14ac:dyDescent="0.3">
      <c r="C254"/>
    </row>
    <row r="255" spans="3:3" x14ac:dyDescent="0.3">
      <c r="C255"/>
    </row>
    <row r="256" spans="3:3" x14ac:dyDescent="0.3">
      <c r="C256"/>
    </row>
    <row r="257" spans="3:3" x14ac:dyDescent="0.3">
      <c r="C257"/>
    </row>
    <row r="258" spans="3:3" x14ac:dyDescent="0.3">
      <c r="C258"/>
    </row>
    <row r="259" spans="3:3" x14ac:dyDescent="0.3">
      <c r="C259"/>
    </row>
    <row r="260" spans="3:3" x14ac:dyDescent="0.3">
      <c r="C260"/>
    </row>
    <row r="261" spans="3:3" x14ac:dyDescent="0.3">
      <c r="C261"/>
    </row>
    <row r="262" spans="3:3" x14ac:dyDescent="0.3">
      <c r="C262"/>
    </row>
    <row r="263" spans="3:3" x14ac:dyDescent="0.3">
      <c r="C263"/>
    </row>
    <row r="264" spans="3:3" x14ac:dyDescent="0.3">
      <c r="C264"/>
    </row>
    <row r="265" spans="3:3" x14ac:dyDescent="0.3">
      <c r="C265"/>
    </row>
    <row r="266" spans="3:3" x14ac:dyDescent="0.3">
      <c r="C266"/>
    </row>
    <row r="267" spans="3:3" x14ac:dyDescent="0.3">
      <c r="C267"/>
    </row>
    <row r="268" spans="3:3" x14ac:dyDescent="0.3">
      <c r="C268"/>
    </row>
    <row r="269" spans="3:3" x14ac:dyDescent="0.3">
      <c r="C269"/>
    </row>
    <row r="270" spans="3:3" x14ac:dyDescent="0.3">
      <c r="C270"/>
    </row>
    <row r="271" spans="3:3" x14ac:dyDescent="0.3">
      <c r="C271"/>
    </row>
    <row r="272" spans="3:3" x14ac:dyDescent="0.3">
      <c r="C272"/>
    </row>
    <row r="273" spans="3:3" x14ac:dyDescent="0.3">
      <c r="C273"/>
    </row>
    <row r="274" spans="3:3" x14ac:dyDescent="0.3">
      <c r="C274"/>
    </row>
    <row r="275" spans="3:3" x14ac:dyDescent="0.3">
      <c r="C275"/>
    </row>
    <row r="276" spans="3:3" x14ac:dyDescent="0.3">
      <c r="C276"/>
    </row>
    <row r="277" spans="3:3" x14ac:dyDescent="0.3">
      <c r="C277"/>
    </row>
    <row r="278" spans="3:3" x14ac:dyDescent="0.3">
      <c r="C278"/>
    </row>
    <row r="279" spans="3:3" x14ac:dyDescent="0.3">
      <c r="C279"/>
    </row>
    <row r="280" spans="3:3" x14ac:dyDescent="0.3">
      <c r="C280"/>
    </row>
    <row r="281" spans="3:3" x14ac:dyDescent="0.3">
      <c r="C281"/>
    </row>
    <row r="282" spans="3:3" x14ac:dyDescent="0.3">
      <c r="C282"/>
    </row>
    <row r="283" spans="3:3" x14ac:dyDescent="0.3">
      <c r="C283"/>
    </row>
    <row r="284" spans="3:3" x14ac:dyDescent="0.3">
      <c r="C284"/>
    </row>
    <row r="285" spans="3:3" x14ac:dyDescent="0.3">
      <c r="C285"/>
    </row>
    <row r="286" spans="3:3" x14ac:dyDescent="0.3">
      <c r="C286"/>
    </row>
    <row r="287" spans="3:3" x14ac:dyDescent="0.3">
      <c r="C287"/>
    </row>
    <row r="288" spans="3:3" x14ac:dyDescent="0.3">
      <c r="C288"/>
    </row>
    <row r="289" spans="3:3" x14ac:dyDescent="0.3">
      <c r="C289"/>
    </row>
    <row r="290" spans="3:3" x14ac:dyDescent="0.3">
      <c r="C290"/>
    </row>
    <row r="291" spans="3:3" x14ac:dyDescent="0.3">
      <c r="C291"/>
    </row>
    <row r="292" spans="3:3" x14ac:dyDescent="0.3">
      <c r="C292"/>
    </row>
    <row r="293" spans="3:3" x14ac:dyDescent="0.3">
      <c r="C293"/>
    </row>
    <row r="294" spans="3:3" x14ac:dyDescent="0.3">
      <c r="C294"/>
    </row>
    <row r="295" spans="3:3" x14ac:dyDescent="0.3">
      <c r="C295"/>
    </row>
    <row r="296" spans="3:3" x14ac:dyDescent="0.3">
      <c r="C296"/>
    </row>
    <row r="297" spans="3:3" x14ac:dyDescent="0.3">
      <c r="C297"/>
    </row>
    <row r="298" spans="3:3" x14ac:dyDescent="0.3">
      <c r="C298"/>
    </row>
    <row r="299" spans="3:3" x14ac:dyDescent="0.3">
      <c r="C299"/>
    </row>
    <row r="300" spans="3:3" x14ac:dyDescent="0.3">
      <c r="C300"/>
    </row>
    <row r="301" spans="3:3" x14ac:dyDescent="0.3">
      <c r="C301"/>
    </row>
    <row r="302" spans="3:3" x14ac:dyDescent="0.3">
      <c r="C302"/>
    </row>
    <row r="303" spans="3:3" x14ac:dyDescent="0.3">
      <c r="C303"/>
    </row>
    <row r="304" spans="3:3" x14ac:dyDescent="0.3">
      <c r="C304"/>
    </row>
    <row r="305" spans="3:3" x14ac:dyDescent="0.3">
      <c r="C305"/>
    </row>
    <row r="306" spans="3:3" x14ac:dyDescent="0.3">
      <c r="C306"/>
    </row>
    <row r="307" spans="3:3" x14ac:dyDescent="0.3">
      <c r="C307"/>
    </row>
    <row r="308" spans="3:3" x14ac:dyDescent="0.3">
      <c r="C308"/>
    </row>
    <row r="309" spans="3:3" x14ac:dyDescent="0.3">
      <c r="C309"/>
    </row>
    <row r="310" spans="3:3" x14ac:dyDescent="0.3">
      <c r="C310"/>
    </row>
    <row r="311" spans="3:3" x14ac:dyDescent="0.3">
      <c r="C311"/>
    </row>
    <row r="312" spans="3:3" x14ac:dyDescent="0.3">
      <c r="C312"/>
    </row>
    <row r="313" spans="3:3" x14ac:dyDescent="0.3">
      <c r="C313"/>
    </row>
    <row r="314" spans="3:3" x14ac:dyDescent="0.3">
      <c r="C314"/>
    </row>
    <row r="315" spans="3:3" x14ac:dyDescent="0.3">
      <c r="C315"/>
    </row>
    <row r="316" spans="3:3" x14ac:dyDescent="0.3">
      <c r="C316"/>
    </row>
    <row r="317" spans="3:3" x14ac:dyDescent="0.3">
      <c r="C317"/>
    </row>
    <row r="318" spans="3:3" x14ac:dyDescent="0.3">
      <c r="C318"/>
    </row>
    <row r="319" spans="3:3" x14ac:dyDescent="0.3">
      <c r="C319"/>
    </row>
    <row r="320" spans="3:3" x14ac:dyDescent="0.3">
      <c r="C320"/>
    </row>
    <row r="321" spans="3:3" x14ac:dyDescent="0.3">
      <c r="C321"/>
    </row>
    <row r="322" spans="3:3" x14ac:dyDescent="0.3">
      <c r="C322"/>
    </row>
    <row r="323" spans="3:3" x14ac:dyDescent="0.3">
      <c r="C323"/>
    </row>
    <row r="324" spans="3:3" x14ac:dyDescent="0.3">
      <c r="C324"/>
    </row>
    <row r="325" spans="3:3" x14ac:dyDescent="0.3">
      <c r="C325"/>
    </row>
    <row r="326" spans="3:3" x14ac:dyDescent="0.3">
      <c r="C326"/>
    </row>
    <row r="327" spans="3:3" x14ac:dyDescent="0.3">
      <c r="C327"/>
    </row>
    <row r="328" spans="3:3" x14ac:dyDescent="0.3">
      <c r="C328"/>
    </row>
    <row r="329" spans="3:3" x14ac:dyDescent="0.3">
      <c r="C329"/>
    </row>
    <row r="330" spans="3:3" x14ac:dyDescent="0.3">
      <c r="C330"/>
    </row>
    <row r="331" spans="3:3" x14ac:dyDescent="0.3">
      <c r="C331"/>
    </row>
    <row r="332" spans="3:3" x14ac:dyDescent="0.3">
      <c r="C332"/>
    </row>
    <row r="333" spans="3:3" x14ac:dyDescent="0.3">
      <c r="C333"/>
    </row>
    <row r="334" spans="3:3" x14ac:dyDescent="0.3">
      <c r="C334"/>
    </row>
    <row r="335" spans="3:3" x14ac:dyDescent="0.3">
      <c r="C335"/>
    </row>
    <row r="336" spans="3:3" x14ac:dyDescent="0.3">
      <c r="C336"/>
    </row>
    <row r="337" spans="3:3" x14ac:dyDescent="0.3">
      <c r="C337"/>
    </row>
    <row r="338" spans="3:3" x14ac:dyDescent="0.3">
      <c r="C338"/>
    </row>
    <row r="339" spans="3:3" x14ac:dyDescent="0.3">
      <c r="C339"/>
    </row>
    <row r="340" spans="3:3" x14ac:dyDescent="0.3">
      <c r="C340"/>
    </row>
    <row r="341" spans="3:3" x14ac:dyDescent="0.3">
      <c r="C341"/>
    </row>
    <row r="342" spans="3:3" x14ac:dyDescent="0.3">
      <c r="C342"/>
    </row>
    <row r="343" spans="3:3" x14ac:dyDescent="0.3">
      <c r="C343"/>
    </row>
    <row r="344" spans="3:3" x14ac:dyDescent="0.3">
      <c r="C344"/>
    </row>
    <row r="345" spans="3:3" x14ac:dyDescent="0.3">
      <c r="C345"/>
    </row>
    <row r="346" spans="3:3" x14ac:dyDescent="0.3">
      <c r="C346"/>
    </row>
    <row r="347" spans="3:3" x14ac:dyDescent="0.3">
      <c r="C347"/>
    </row>
    <row r="348" spans="3:3" x14ac:dyDescent="0.3">
      <c r="C348"/>
    </row>
    <row r="349" spans="3:3" x14ac:dyDescent="0.3">
      <c r="C349"/>
    </row>
    <row r="350" spans="3:3" x14ac:dyDescent="0.3">
      <c r="C350"/>
    </row>
    <row r="351" spans="3:3" x14ac:dyDescent="0.3">
      <c r="C351"/>
    </row>
    <row r="352" spans="3:3" x14ac:dyDescent="0.3">
      <c r="C352"/>
    </row>
    <row r="353" spans="3:3" x14ac:dyDescent="0.3">
      <c r="C353"/>
    </row>
    <row r="354" spans="3:3" x14ac:dyDescent="0.3">
      <c r="C354"/>
    </row>
    <row r="355" spans="3:3" x14ac:dyDescent="0.3">
      <c r="C355"/>
    </row>
    <row r="356" spans="3:3" x14ac:dyDescent="0.3">
      <c r="C356"/>
    </row>
    <row r="357" spans="3:3" x14ac:dyDescent="0.3">
      <c r="C357"/>
    </row>
    <row r="358" spans="3:3" x14ac:dyDescent="0.3">
      <c r="C358"/>
    </row>
    <row r="359" spans="3:3" x14ac:dyDescent="0.3">
      <c r="C359"/>
    </row>
    <row r="360" spans="3:3" x14ac:dyDescent="0.3">
      <c r="C360"/>
    </row>
    <row r="361" spans="3:3" x14ac:dyDescent="0.3">
      <c r="C361"/>
    </row>
    <row r="362" spans="3:3" x14ac:dyDescent="0.3">
      <c r="C362"/>
    </row>
    <row r="363" spans="3:3" x14ac:dyDescent="0.3">
      <c r="C363"/>
    </row>
    <row r="364" spans="3:3" x14ac:dyDescent="0.3">
      <c r="C364"/>
    </row>
    <row r="365" spans="3:3" x14ac:dyDescent="0.3">
      <c r="C365"/>
    </row>
    <row r="366" spans="3:3" x14ac:dyDescent="0.3">
      <c r="C366"/>
    </row>
    <row r="367" spans="3:3" x14ac:dyDescent="0.3">
      <c r="C367"/>
    </row>
    <row r="368" spans="3:3" x14ac:dyDescent="0.3">
      <c r="C368"/>
    </row>
    <row r="369" spans="3:3" x14ac:dyDescent="0.3">
      <c r="C369"/>
    </row>
    <row r="370" spans="3:3" x14ac:dyDescent="0.3">
      <c r="C370"/>
    </row>
    <row r="371" spans="3:3" x14ac:dyDescent="0.3">
      <c r="C371"/>
    </row>
    <row r="372" spans="3:3" x14ac:dyDescent="0.3">
      <c r="C372"/>
    </row>
    <row r="373" spans="3:3" x14ac:dyDescent="0.3">
      <c r="C373"/>
    </row>
    <row r="374" spans="3:3" x14ac:dyDescent="0.3">
      <c r="C374"/>
    </row>
    <row r="375" spans="3:3" x14ac:dyDescent="0.3">
      <c r="C375"/>
    </row>
    <row r="376" spans="3:3" x14ac:dyDescent="0.3">
      <c r="C376"/>
    </row>
    <row r="377" spans="3:3" x14ac:dyDescent="0.3">
      <c r="C37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66563-42F3-4886-80BF-C488D3373EEF}">
  <dimension ref="A3:D9"/>
  <sheetViews>
    <sheetView workbookViewId="0">
      <selection activeCell="D9" sqref="D9"/>
    </sheetView>
  </sheetViews>
  <sheetFormatPr defaultRowHeight="14.4" x14ac:dyDescent="0.3"/>
  <cols>
    <col min="1" max="1" width="12.5546875" bestFit="1" customWidth="1"/>
    <col min="2" max="2" width="20.6640625" bestFit="1" customWidth="1"/>
  </cols>
  <sheetData>
    <row r="3" spans="1:4" x14ac:dyDescent="0.3">
      <c r="A3" s="3" t="s">
        <v>875</v>
      </c>
      <c r="B3" t="s">
        <v>877</v>
      </c>
    </row>
    <row r="4" spans="1:4" x14ac:dyDescent="0.3">
      <c r="A4" s="4" t="s">
        <v>10</v>
      </c>
      <c r="B4" s="5">
        <v>9</v>
      </c>
    </row>
    <row r="5" spans="1:4" x14ac:dyDescent="0.3">
      <c r="A5" s="4" t="s">
        <v>876</v>
      </c>
      <c r="B5" s="5">
        <v>9</v>
      </c>
    </row>
    <row r="9" spans="1:4" x14ac:dyDescent="0.3">
      <c r="D9">
        <f>+GETPIVOTDATA("CLIENT NAME",$A$3)</f>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165D6-E2C0-4665-B95D-C6CB79EB7D38}">
  <dimension ref="A3:B5"/>
  <sheetViews>
    <sheetView workbookViewId="0">
      <selection activeCell="S5" sqref="S5"/>
    </sheetView>
  </sheetViews>
  <sheetFormatPr defaultRowHeight="14.4" x14ac:dyDescent="0.3"/>
  <cols>
    <col min="1" max="1" width="12.5546875" bestFit="1" customWidth="1"/>
    <col min="2" max="2" width="11.77734375" bestFit="1" customWidth="1"/>
    <col min="3" max="3" width="12.5546875" bestFit="1" customWidth="1"/>
    <col min="4" max="4" width="14.109375" bestFit="1" customWidth="1"/>
    <col min="5" max="5" width="10.5546875" bestFit="1" customWidth="1"/>
    <col min="6" max="330" width="15.5546875" bestFit="1" customWidth="1"/>
    <col min="331" max="331" width="10.77734375" bestFit="1" customWidth="1"/>
  </cols>
  <sheetData>
    <row r="3" spans="1:2" x14ac:dyDescent="0.3">
      <c r="A3" s="3" t="s">
        <v>875</v>
      </c>
      <c r="B3" t="s">
        <v>883</v>
      </c>
    </row>
    <row r="4" spans="1:2" x14ac:dyDescent="0.3">
      <c r="A4" s="4" t="s">
        <v>870</v>
      </c>
      <c r="B4" s="5">
        <v>3998</v>
      </c>
    </row>
    <row r="5" spans="1:2" x14ac:dyDescent="0.3">
      <c r="A5" s="4" t="s">
        <v>876</v>
      </c>
      <c r="B5" s="5">
        <v>3998</v>
      </c>
    </row>
  </sheetData>
  <sortState xmlns:xlrd2="http://schemas.microsoft.com/office/spreadsheetml/2017/richdata2" ref="A3:B8">
    <sortCondition ref="B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8"/>
  <sheetViews>
    <sheetView workbookViewId="0">
      <pane xSplit="2" ySplit="1" topLeftCell="C151" activePane="bottomRight" state="frozen"/>
      <selection pane="topRight" activeCell="C1" sqref="C1"/>
      <selection pane="bottomLeft" activeCell="A2" sqref="A2"/>
      <selection pane="bottomRight" activeCell="H405" sqref="H405"/>
    </sheetView>
  </sheetViews>
  <sheetFormatPr defaultRowHeight="14.4" x14ac:dyDescent="0.3"/>
  <cols>
    <col min="1" max="1" width="6" customWidth="1"/>
    <col min="2" max="2" width="35" customWidth="1"/>
    <col min="3" max="3" width="25" customWidth="1"/>
    <col min="4" max="4" width="15" customWidth="1"/>
    <col min="5" max="5" width="12" customWidth="1"/>
    <col min="6" max="6" width="12.109375" customWidth="1"/>
  </cols>
  <sheetData>
    <row r="1" spans="1:9" x14ac:dyDescent="0.3">
      <c r="A1" t="s">
        <v>0</v>
      </c>
      <c r="B1" t="s">
        <v>1</v>
      </c>
      <c r="C1" t="s">
        <v>2</v>
      </c>
      <c r="D1" t="s">
        <v>3</v>
      </c>
      <c r="E1" t="s">
        <v>4</v>
      </c>
      <c r="F1" t="s">
        <v>5</v>
      </c>
      <c r="G1" t="s">
        <v>880</v>
      </c>
      <c r="H1" t="s">
        <v>881</v>
      </c>
      <c r="I1" t="s">
        <v>882</v>
      </c>
    </row>
    <row r="2" spans="1:9" x14ac:dyDescent="0.3">
      <c r="A2">
        <v>1</v>
      </c>
      <c r="B2" t="s">
        <v>6</v>
      </c>
      <c r="C2" t="s">
        <v>7</v>
      </c>
      <c r="D2" t="s">
        <v>8</v>
      </c>
      <c r="E2" t="s">
        <v>9</v>
      </c>
      <c r="F2" t="s">
        <v>10</v>
      </c>
      <c r="G2" t="s">
        <v>869</v>
      </c>
      <c r="H2">
        <v>812</v>
      </c>
    </row>
    <row r="3" spans="1:9" x14ac:dyDescent="0.3">
      <c r="A3">
        <v>2</v>
      </c>
      <c r="B3" t="s">
        <v>11</v>
      </c>
      <c r="C3" t="s">
        <v>7</v>
      </c>
      <c r="D3" t="s">
        <v>12</v>
      </c>
      <c r="E3" t="s">
        <v>13</v>
      </c>
      <c r="F3" t="s">
        <v>10</v>
      </c>
      <c r="G3" t="s">
        <v>870</v>
      </c>
      <c r="H3">
        <v>520</v>
      </c>
    </row>
    <row r="4" spans="1:9" x14ac:dyDescent="0.3">
      <c r="A4">
        <v>3</v>
      </c>
      <c r="B4" t="s">
        <v>14</v>
      </c>
      <c r="C4" t="s">
        <v>7</v>
      </c>
      <c r="D4" t="s">
        <v>15</v>
      </c>
      <c r="E4" t="s">
        <v>9</v>
      </c>
      <c r="F4" t="s">
        <v>10</v>
      </c>
      <c r="G4" t="s">
        <v>871</v>
      </c>
      <c r="H4">
        <v>282</v>
      </c>
    </row>
    <row r="5" spans="1:9" x14ac:dyDescent="0.3">
      <c r="A5">
        <v>4</v>
      </c>
      <c r="B5" t="s">
        <v>16</v>
      </c>
      <c r="C5" t="s">
        <v>17</v>
      </c>
      <c r="D5" t="s">
        <v>18</v>
      </c>
      <c r="E5" t="s">
        <v>9</v>
      </c>
      <c r="F5" t="s">
        <v>10</v>
      </c>
      <c r="G5" t="s">
        <v>872</v>
      </c>
      <c r="H5">
        <v>602</v>
      </c>
    </row>
    <row r="6" spans="1:9" x14ac:dyDescent="0.3">
      <c r="A6">
        <v>5</v>
      </c>
      <c r="B6" t="s">
        <v>19</v>
      </c>
      <c r="C6" t="s">
        <v>17</v>
      </c>
      <c r="D6" t="s">
        <v>20</v>
      </c>
      <c r="E6" t="s">
        <v>9</v>
      </c>
      <c r="F6" t="s">
        <v>10</v>
      </c>
      <c r="G6" t="s">
        <v>873</v>
      </c>
      <c r="H6">
        <v>528</v>
      </c>
    </row>
    <row r="7" spans="1:9" x14ac:dyDescent="0.3">
      <c r="A7">
        <v>6</v>
      </c>
      <c r="B7" t="s">
        <v>21</v>
      </c>
      <c r="C7" t="s">
        <v>17</v>
      </c>
      <c r="D7" t="s">
        <v>22</v>
      </c>
      <c r="E7" t="s">
        <v>23</v>
      </c>
      <c r="F7" t="s">
        <v>10</v>
      </c>
      <c r="G7" t="s">
        <v>869</v>
      </c>
      <c r="H7">
        <v>473</v>
      </c>
    </row>
    <row r="8" spans="1:9" x14ac:dyDescent="0.3">
      <c r="A8">
        <v>7</v>
      </c>
      <c r="B8" t="s">
        <v>24</v>
      </c>
      <c r="C8" t="s">
        <v>17</v>
      </c>
      <c r="D8" t="s">
        <v>25</v>
      </c>
      <c r="E8" t="s">
        <v>23</v>
      </c>
      <c r="F8" t="s">
        <v>10</v>
      </c>
      <c r="G8" t="s">
        <v>870</v>
      </c>
      <c r="H8">
        <v>244</v>
      </c>
    </row>
    <row r="9" spans="1:9" x14ac:dyDescent="0.3">
      <c r="A9">
        <v>8</v>
      </c>
      <c r="B9" t="s">
        <v>27</v>
      </c>
      <c r="C9" t="s">
        <v>17</v>
      </c>
      <c r="D9" t="s">
        <v>28</v>
      </c>
      <c r="E9" t="s">
        <v>23</v>
      </c>
      <c r="F9" t="s">
        <v>10</v>
      </c>
      <c r="G9" t="s">
        <v>871</v>
      </c>
      <c r="H9">
        <v>760</v>
      </c>
    </row>
    <row r="10" spans="1:9" x14ac:dyDescent="0.3">
      <c r="A10">
        <v>9</v>
      </c>
      <c r="B10" t="s">
        <v>29</v>
      </c>
      <c r="C10" t="s">
        <v>17</v>
      </c>
      <c r="D10" t="s">
        <v>30</v>
      </c>
      <c r="E10" t="s">
        <v>9</v>
      </c>
      <c r="F10" t="s">
        <v>10</v>
      </c>
      <c r="G10" t="s">
        <v>872</v>
      </c>
      <c r="H10">
        <v>425</v>
      </c>
    </row>
    <row r="11" spans="1:9" x14ac:dyDescent="0.3">
      <c r="A11">
        <v>10</v>
      </c>
      <c r="B11" t="s">
        <v>31</v>
      </c>
      <c r="C11" t="s">
        <v>17</v>
      </c>
      <c r="D11" t="s">
        <v>32</v>
      </c>
      <c r="E11" t="s">
        <v>23</v>
      </c>
      <c r="F11" t="s">
        <v>10</v>
      </c>
      <c r="G11" t="s">
        <v>873</v>
      </c>
      <c r="H11">
        <v>645</v>
      </c>
    </row>
    <row r="12" spans="1:9" x14ac:dyDescent="0.3">
      <c r="A12">
        <v>11</v>
      </c>
      <c r="B12" t="s">
        <v>33</v>
      </c>
      <c r="C12" t="s">
        <v>17</v>
      </c>
      <c r="D12" t="s">
        <v>34</v>
      </c>
      <c r="E12" t="s">
        <v>23</v>
      </c>
      <c r="F12" t="s">
        <v>10</v>
      </c>
      <c r="G12" t="s">
        <v>869</v>
      </c>
      <c r="H12">
        <v>419</v>
      </c>
    </row>
    <row r="13" spans="1:9" x14ac:dyDescent="0.3">
      <c r="A13">
        <v>12</v>
      </c>
      <c r="B13" t="s">
        <v>35</v>
      </c>
      <c r="C13" t="s">
        <v>17</v>
      </c>
      <c r="D13" t="s">
        <v>36</v>
      </c>
      <c r="E13" t="s">
        <v>23</v>
      </c>
      <c r="F13" t="s">
        <v>10</v>
      </c>
      <c r="G13" t="s">
        <v>870</v>
      </c>
      <c r="H13">
        <v>358</v>
      </c>
    </row>
    <row r="14" spans="1:9" x14ac:dyDescent="0.3">
      <c r="A14">
        <v>13</v>
      </c>
      <c r="B14" t="s">
        <v>37</v>
      </c>
      <c r="C14" t="s">
        <v>17</v>
      </c>
      <c r="D14" t="s">
        <v>38</v>
      </c>
      <c r="E14" t="s">
        <v>23</v>
      </c>
      <c r="F14" t="s">
        <v>10</v>
      </c>
      <c r="G14" t="s">
        <v>871</v>
      </c>
      <c r="H14">
        <v>722</v>
      </c>
    </row>
    <row r="15" spans="1:9" x14ac:dyDescent="0.3">
      <c r="A15">
        <v>14</v>
      </c>
      <c r="B15" t="s">
        <v>39</v>
      </c>
      <c r="C15" t="s">
        <v>17</v>
      </c>
      <c r="D15" t="s">
        <v>40</v>
      </c>
      <c r="E15" t="s">
        <v>23</v>
      </c>
      <c r="F15" t="s">
        <v>10</v>
      </c>
      <c r="G15" t="s">
        <v>872</v>
      </c>
      <c r="H15">
        <v>421</v>
      </c>
    </row>
    <row r="16" spans="1:9" x14ac:dyDescent="0.3">
      <c r="A16">
        <v>15</v>
      </c>
      <c r="B16" t="s">
        <v>41</v>
      </c>
      <c r="C16" t="s">
        <v>17</v>
      </c>
      <c r="D16" t="s">
        <v>42</v>
      </c>
      <c r="E16" t="s">
        <v>9</v>
      </c>
      <c r="F16" t="s">
        <v>10</v>
      </c>
      <c r="G16" t="s">
        <v>873</v>
      </c>
      <c r="H16">
        <v>164</v>
      </c>
    </row>
    <row r="17" spans="1:8" x14ac:dyDescent="0.3">
      <c r="A17">
        <v>16</v>
      </c>
      <c r="B17" t="s">
        <v>43</v>
      </c>
      <c r="C17" t="s">
        <v>17</v>
      </c>
      <c r="D17" t="s">
        <v>44</v>
      </c>
      <c r="E17" t="s">
        <v>9</v>
      </c>
      <c r="F17" t="s">
        <v>10</v>
      </c>
      <c r="G17" t="s">
        <v>869</v>
      </c>
      <c r="H17">
        <v>864</v>
      </c>
    </row>
    <row r="18" spans="1:8" x14ac:dyDescent="0.3">
      <c r="A18">
        <v>17</v>
      </c>
      <c r="B18" t="s">
        <v>45</v>
      </c>
      <c r="C18" t="s">
        <v>46</v>
      </c>
      <c r="D18" t="s">
        <v>47</v>
      </c>
      <c r="E18" t="s">
        <v>9</v>
      </c>
      <c r="F18" t="s">
        <v>10</v>
      </c>
      <c r="G18" t="s">
        <v>870</v>
      </c>
      <c r="H18">
        <v>448</v>
      </c>
    </row>
    <row r="19" spans="1:8" x14ac:dyDescent="0.3">
      <c r="A19">
        <v>18</v>
      </c>
      <c r="B19" t="s">
        <v>48</v>
      </c>
      <c r="C19" t="s">
        <v>46</v>
      </c>
      <c r="D19" t="s">
        <v>49</v>
      </c>
      <c r="E19" t="s">
        <v>9</v>
      </c>
      <c r="F19" t="s">
        <v>10</v>
      </c>
      <c r="G19" t="s">
        <v>871</v>
      </c>
      <c r="H19">
        <v>163</v>
      </c>
    </row>
    <row r="20" spans="1:8" x14ac:dyDescent="0.3">
      <c r="A20">
        <v>19</v>
      </c>
      <c r="B20" t="s">
        <v>50</v>
      </c>
      <c r="C20" t="s">
        <v>46</v>
      </c>
      <c r="D20" t="s">
        <v>51</v>
      </c>
      <c r="E20" t="s">
        <v>9</v>
      </c>
      <c r="F20" t="s">
        <v>10</v>
      </c>
      <c r="G20" t="s">
        <v>872</v>
      </c>
      <c r="H20">
        <v>574</v>
      </c>
    </row>
    <row r="21" spans="1:8" x14ac:dyDescent="0.3">
      <c r="A21">
        <v>20</v>
      </c>
      <c r="B21" t="s">
        <v>52</v>
      </c>
      <c r="C21" t="s">
        <v>46</v>
      </c>
      <c r="D21" t="s">
        <v>53</v>
      </c>
      <c r="E21" t="s">
        <v>23</v>
      </c>
      <c r="F21" t="s">
        <v>10</v>
      </c>
      <c r="G21" t="s">
        <v>873</v>
      </c>
      <c r="H21">
        <v>512</v>
      </c>
    </row>
    <row r="22" spans="1:8" x14ac:dyDescent="0.3">
      <c r="A22">
        <v>21</v>
      </c>
      <c r="B22" t="s">
        <v>54</v>
      </c>
      <c r="C22" t="s">
        <v>46</v>
      </c>
      <c r="D22" t="s">
        <v>55</v>
      </c>
      <c r="E22" t="s">
        <v>9</v>
      </c>
      <c r="F22" t="s">
        <v>10</v>
      </c>
      <c r="G22" t="s">
        <v>869</v>
      </c>
      <c r="H22">
        <v>338</v>
      </c>
    </row>
    <row r="23" spans="1:8" x14ac:dyDescent="0.3">
      <c r="A23">
        <v>22</v>
      </c>
      <c r="B23" t="s">
        <v>56</v>
      </c>
      <c r="C23" t="s">
        <v>46</v>
      </c>
      <c r="D23" t="s">
        <v>57</v>
      </c>
      <c r="E23" t="s">
        <v>9</v>
      </c>
      <c r="F23" t="s">
        <v>10</v>
      </c>
      <c r="G23" t="s">
        <v>870</v>
      </c>
      <c r="H23">
        <v>794</v>
      </c>
    </row>
    <row r="24" spans="1:8" x14ac:dyDescent="0.3">
      <c r="A24">
        <v>23</v>
      </c>
      <c r="B24" t="s">
        <v>58</v>
      </c>
      <c r="C24" t="s">
        <v>46</v>
      </c>
      <c r="D24" t="s">
        <v>59</v>
      </c>
      <c r="E24" t="s">
        <v>9</v>
      </c>
      <c r="F24" t="s">
        <v>10</v>
      </c>
      <c r="G24" t="s">
        <v>871</v>
      </c>
      <c r="H24">
        <v>387</v>
      </c>
    </row>
    <row r="25" spans="1:8" x14ac:dyDescent="0.3">
      <c r="A25">
        <v>24</v>
      </c>
      <c r="B25" t="s">
        <v>60</v>
      </c>
      <c r="C25" t="s">
        <v>46</v>
      </c>
      <c r="D25" t="s">
        <v>61</v>
      </c>
      <c r="E25" t="s">
        <v>23</v>
      </c>
      <c r="F25" t="s">
        <v>10</v>
      </c>
      <c r="G25" t="s">
        <v>872</v>
      </c>
      <c r="H25">
        <v>986</v>
      </c>
    </row>
    <row r="26" spans="1:8" x14ac:dyDescent="0.3">
      <c r="A26">
        <v>25</v>
      </c>
      <c r="B26" t="s">
        <v>62</v>
      </c>
      <c r="C26" t="s">
        <v>46</v>
      </c>
      <c r="D26" t="s">
        <v>63</v>
      </c>
      <c r="E26" t="s">
        <v>9</v>
      </c>
      <c r="F26" t="s">
        <v>10</v>
      </c>
      <c r="G26" t="s">
        <v>873</v>
      </c>
      <c r="H26">
        <v>370</v>
      </c>
    </row>
    <row r="27" spans="1:8" x14ac:dyDescent="0.3">
      <c r="A27">
        <v>26</v>
      </c>
      <c r="B27" t="s">
        <v>64</v>
      </c>
      <c r="C27" t="s">
        <v>65</v>
      </c>
      <c r="D27" t="s">
        <v>66</v>
      </c>
      <c r="E27" t="s">
        <v>9</v>
      </c>
      <c r="F27" t="s">
        <v>10</v>
      </c>
      <c r="G27" t="s">
        <v>869</v>
      </c>
      <c r="H27">
        <v>834</v>
      </c>
    </row>
    <row r="28" spans="1:8" x14ac:dyDescent="0.3">
      <c r="A28">
        <v>27</v>
      </c>
      <c r="B28" t="s">
        <v>67</v>
      </c>
      <c r="C28" t="s">
        <v>68</v>
      </c>
      <c r="D28" t="s">
        <v>69</v>
      </c>
      <c r="E28" t="s">
        <v>13</v>
      </c>
      <c r="F28" t="s">
        <v>10</v>
      </c>
      <c r="G28" t="s">
        <v>870</v>
      </c>
      <c r="H28">
        <v>976</v>
      </c>
    </row>
    <row r="29" spans="1:8" x14ac:dyDescent="0.3">
      <c r="A29">
        <v>28</v>
      </c>
      <c r="B29" t="s">
        <v>70</v>
      </c>
      <c r="C29" t="s">
        <v>71</v>
      </c>
      <c r="D29" t="s">
        <v>72</v>
      </c>
      <c r="E29" t="s">
        <v>13</v>
      </c>
      <c r="F29" t="s">
        <v>10</v>
      </c>
      <c r="G29" t="s">
        <v>871</v>
      </c>
      <c r="H29">
        <v>405</v>
      </c>
    </row>
    <row r="30" spans="1:8" x14ac:dyDescent="0.3">
      <c r="A30">
        <v>29</v>
      </c>
      <c r="B30" t="s">
        <v>73</v>
      </c>
      <c r="C30" t="s">
        <v>71</v>
      </c>
      <c r="D30" t="s">
        <v>74</v>
      </c>
      <c r="E30" t="s">
        <v>9</v>
      </c>
      <c r="F30" t="s">
        <v>10</v>
      </c>
      <c r="G30" t="s">
        <v>872</v>
      </c>
      <c r="H30">
        <v>465</v>
      </c>
    </row>
    <row r="31" spans="1:8" x14ac:dyDescent="0.3">
      <c r="A31">
        <v>30</v>
      </c>
      <c r="B31" t="s">
        <v>75</v>
      </c>
      <c r="C31" t="s">
        <v>76</v>
      </c>
      <c r="D31" t="s">
        <v>77</v>
      </c>
      <c r="E31" t="s">
        <v>13</v>
      </c>
      <c r="F31" t="s">
        <v>10</v>
      </c>
      <c r="G31" t="s">
        <v>873</v>
      </c>
      <c r="H31">
        <v>201</v>
      </c>
    </row>
    <row r="32" spans="1:8" x14ac:dyDescent="0.3">
      <c r="A32">
        <v>31</v>
      </c>
      <c r="B32" t="s">
        <v>78</v>
      </c>
      <c r="C32" t="s">
        <v>79</v>
      </c>
      <c r="D32" t="s">
        <v>80</v>
      </c>
      <c r="E32" t="s">
        <v>9</v>
      </c>
      <c r="F32" t="s">
        <v>10</v>
      </c>
      <c r="G32" t="s">
        <v>869</v>
      </c>
      <c r="H32">
        <v>576</v>
      </c>
    </row>
    <row r="33" spans="1:8" x14ac:dyDescent="0.3">
      <c r="A33">
        <v>32</v>
      </c>
      <c r="B33" t="s">
        <v>81</v>
      </c>
      <c r="C33" t="s">
        <v>79</v>
      </c>
      <c r="D33" t="s">
        <v>82</v>
      </c>
      <c r="E33" t="s">
        <v>9</v>
      </c>
      <c r="F33" t="s">
        <v>10</v>
      </c>
      <c r="G33" t="s">
        <v>870</v>
      </c>
      <c r="H33">
        <v>670</v>
      </c>
    </row>
    <row r="34" spans="1:8" x14ac:dyDescent="0.3">
      <c r="A34">
        <v>33</v>
      </c>
      <c r="B34" t="s">
        <v>83</v>
      </c>
      <c r="C34" t="s">
        <v>79</v>
      </c>
      <c r="D34" t="s">
        <v>84</v>
      </c>
      <c r="E34" t="s">
        <v>9</v>
      </c>
      <c r="F34" t="s">
        <v>10</v>
      </c>
      <c r="G34" t="s">
        <v>871</v>
      </c>
      <c r="H34">
        <v>531</v>
      </c>
    </row>
    <row r="35" spans="1:8" x14ac:dyDescent="0.3">
      <c r="A35">
        <v>34</v>
      </c>
      <c r="B35" t="s">
        <v>85</v>
      </c>
      <c r="C35" t="s">
        <v>79</v>
      </c>
      <c r="D35" t="s">
        <v>86</v>
      </c>
      <c r="E35" t="s">
        <v>9</v>
      </c>
      <c r="F35" t="s">
        <v>10</v>
      </c>
      <c r="G35" t="s">
        <v>872</v>
      </c>
      <c r="H35">
        <v>604</v>
      </c>
    </row>
    <row r="36" spans="1:8" x14ac:dyDescent="0.3">
      <c r="A36">
        <v>35</v>
      </c>
      <c r="B36" t="s">
        <v>87</v>
      </c>
      <c r="C36" t="s">
        <v>88</v>
      </c>
      <c r="D36" t="s">
        <v>89</v>
      </c>
      <c r="E36" t="s">
        <v>9</v>
      </c>
      <c r="F36" t="s">
        <v>10</v>
      </c>
      <c r="G36" t="s">
        <v>873</v>
      </c>
      <c r="H36">
        <v>792</v>
      </c>
    </row>
    <row r="37" spans="1:8" x14ac:dyDescent="0.3">
      <c r="A37">
        <v>36</v>
      </c>
      <c r="B37" t="s">
        <v>90</v>
      </c>
      <c r="C37" t="s">
        <v>88</v>
      </c>
      <c r="D37" t="s">
        <v>91</v>
      </c>
      <c r="E37" t="s">
        <v>9</v>
      </c>
      <c r="F37" t="s">
        <v>10</v>
      </c>
      <c r="G37" t="s">
        <v>869</v>
      </c>
      <c r="H37">
        <v>249</v>
      </c>
    </row>
    <row r="38" spans="1:8" x14ac:dyDescent="0.3">
      <c r="A38">
        <v>37</v>
      </c>
      <c r="B38" t="s">
        <v>92</v>
      </c>
      <c r="C38" t="s">
        <v>88</v>
      </c>
      <c r="D38" t="s">
        <v>93</v>
      </c>
      <c r="E38" t="s">
        <v>13</v>
      </c>
      <c r="F38" t="s">
        <v>10</v>
      </c>
      <c r="G38" t="s">
        <v>870</v>
      </c>
      <c r="H38">
        <v>683</v>
      </c>
    </row>
    <row r="39" spans="1:8" x14ac:dyDescent="0.3">
      <c r="A39">
        <v>38</v>
      </c>
      <c r="B39" t="s">
        <v>94</v>
      </c>
      <c r="C39" t="s">
        <v>88</v>
      </c>
      <c r="D39" t="s">
        <v>95</v>
      </c>
      <c r="E39" t="s">
        <v>9</v>
      </c>
      <c r="F39" t="s">
        <v>10</v>
      </c>
      <c r="G39" t="s">
        <v>871</v>
      </c>
      <c r="H39">
        <v>733</v>
      </c>
    </row>
    <row r="40" spans="1:8" x14ac:dyDescent="0.3">
      <c r="A40">
        <v>39</v>
      </c>
      <c r="B40" t="s">
        <v>96</v>
      </c>
      <c r="C40" t="s">
        <v>88</v>
      </c>
      <c r="D40" t="s">
        <v>97</v>
      </c>
      <c r="E40" t="s">
        <v>9</v>
      </c>
      <c r="F40" t="s">
        <v>10</v>
      </c>
      <c r="G40" t="s">
        <v>872</v>
      </c>
      <c r="H40">
        <v>534</v>
      </c>
    </row>
    <row r="41" spans="1:8" x14ac:dyDescent="0.3">
      <c r="A41">
        <v>40</v>
      </c>
      <c r="B41" t="s">
        <v>98</v>
      </c>
      <c r="C41" t="s">
        <v>88</v>
      </c>
      <c r="D41" t="s">
        <v>99</v>
      </c>
      <c r="E41" t="s">
        <v>9</v>
      </c>
      <c r="F41" t="s">
        <v>10</v>
      </c>
      <c r="G41" t="s">
        <v>873</v>
      </c>
      <c r="H41">
        <v>333</v>
      </c>
    </row>
    <row r="42" spans="1:8" x14ac:dyDescent="0.3">
      <c r="A42">
        <v>41</v>
      </c>
      <c r="B42" t="s">
        <v>100</v>
      </c>
      <c r="C42" t="s">
        <v>88</v>
      </c>
      <c r="D42" t="s">
        <v>101</v>
      </c>
      <c r="E42" t="s">
        <v>23</v>
      </c>
      <c r="F42" t="s">
        <v>10</v>
      </c>
      <c r="G42" t="s">
        <v>869</v>
      </c>
      <c r="H42">
        <v>169</v>
      </c>
    </row>
    <row r="43" spans="1:8" x14ac:dyDescent="0.3">
      <c r="A43">
        <v>42</v>
      </c>
      <c r="B43" t="s">
        <v>102</v>
      </c>
      <c r="C43" t="s">
        <v>88</v>
      </c>
      <c r="D43" t="s">
        <v>103</v>
      </c>
      <c r="E43" t="s">
        <v>9</v>
      </c>
      <c r="F43" t="s">
        <v>10</v>
      </c>
      <c r="G43" t="s">
        <v>870</v>
      </c>
      <c r="H43">
        <v>667</v>
      </c>
    </row>
    <row r="44" spans="1:8" x14ac:dyDescent="0.3">
      <c r="A44">
        <v>43</v>
      </c>
      <c r="B44" t="s">
        <v>104</v>
      </c>
      <c r="C44" t="s">
        <v>88</v>
      </c>
      <c r="D44" t="s">
        <v>105</v>
      </c>
      <c r="E44" t="s">
        <v>9</v>
      </c>
      <c r="F44" t="s">
        <v>10</v>
      </c>
      <c r="G44" t="s">
        <v>871</v>
      </c>
      <c r="H44">
        <v>963</v>
      </c>
    </row>
    <row r="45" spans="1:8" x14ac:dyDescent="0.3">
      <c r="A45">
        <v>44</v>
      </c>
      <c r="B45" t="s">
        <v>106</v>
      </c>
      <c r="C45" t="s">
        <v>88</v>
      </c>
      <c r="D45" t="s">
        <v>107</v>
      </c>
      <c r="E45" t="s">
        <v>9</v>
      </c>
      <c r="F45" t="s">
        <v>10</v>
      </c>
      <c r="G45" t="s">
        <v>872</v>
      </c>
      <c r="H45">
        <v>561</v>
      </c>
    </row>
    <row r="46" spans="1:8" x14ac:dyDescent="0.3">
      <c r="A46">
        <v>45</v>
      </c>
      <c r="B46" t="s">
        <v>108</v>
      </c>
      <c r="C46" t="s">
        <v>109</v>
      </c>
      <c r="D46" t="s">
        <v>110</v>
      </c>
      <c r="E46" t="s">
        <v>23</v>
      </c>
      <c r="F46" t="s">
        <v>10</v>
      </c>
      <c r="G46" t="s">
        <v>873</v>
      </c>
      <c r="H46">
        <v>215</v>
      </c>
    </row>
    <row r="47" spans="1:8" x14ac:dyDescent="0.3">
      <c r="A47">
        <v>46</v>
      </c>
      <c r="B47" t="s">
        <v>111</v>
      </c>
      <c r="C47" t="s">
        <v>109</v>
      </c>
      <c r="D47" t="s">
        <v>112</v>
      </c>
      <c r="E47" t="s">
        <v>23</v>
      </c>
      <c r="F47" t="s">
        <v>10</v>
      </c>
      <c r="G47" t="s">
        <v>869</v>
      </c>
      <c r="H47">
        <v>258</v>
      </c>
    </row>
    <row r="48" spans="1:8" x14ac:dyDescent="0.3">
      <c r="A48">
        <v>47</v>
      </c>
      <c r="B48" t="s">
        <v>113</v>
      </c>
      <c r="C48" t="s">
        <v>109</v>
      </c>
      <c r="D48" t="s">
        <v>114</v>
      </c>
      <c r="E48" t="s">
        <v>9</v>
      </c>
      <c r="F48" t="s">
        <v>10</v>
      </c>
      <c r="G48" t="s">
        <v>870</v>
      </c>
      <c r="H48">
        <v>980</v>
      </c>
    </row>
    <row r="49" spans="1:8" x14ac:dyDescent="0.3">
      <c r="A49">
        <v>48</v>
      </c>
      <c r="B49" t="s">
        <v>115</v>
      </c>
      <c r="C49" t="s">
        <v>109</v>
      </c>
      <c r="D49" t="s">
        <v>116</v>
      </c>
      <c r="E49" t="s">
        <v>9</v>
      </c>
      <c r="F49" t="s">
        <v>10</v>
      </c>
      <c r="G49" t="s">
        <v>871</v>
      </c>
      <c r="H49">
        <v>404</v>
      </c>
    </row>
    <row r="50" spans="1:8" x14ac:dyDescent="0.3">
      <c r="A50">
        <v>49</v>
      </c>
      <c r="B50" t="s">
        <v>117</v>
      </c>
      <c r="C50" t="s">
        <v>109</v>
      </c>
      <c r="D50" t="s">
        <v>118</v>
      </c>
      <c r="E50" t="s">
        <v>9</v>
      </c>
      <c r="F50" t="s">
        <v>10</v>
      </c>
      <c r="G50" t="s">
        <v>872</v>
      </c>
      <c r="H50">
        <v>694</v>
      </c>
    </row>
    <row r="51" spans="1:8" x14ac:dyDescent="0.3">
      <c r="A51">
        <v>50</v>
      </c>
      <c r="B51" t="s">
        <v>119</v>
      </c>
      <c r="C51" t="s">
        <v>109</v>
      </c>
      <c r="D51" t="s">
        <v>120</v>
      </c>
      <c r="E51" t="s">
        <v>9</v>
      </c>
      <c r="F51" t="s">
        <v>10</v>
      </c>
      <c r="G51" t="s">
        <v>873</v>
      </c>
      <c r="H51">
        <v>240</v>
      </c>
    </row>
    <row r="52" spans="1:8" x14ac:dyDescent="0.3">
      <c r="A52">
        <v>51</v>
      </c>
      <c r="B52" t="s">
        <v>121</v>
      </c>
      <c r="C52" t="s">
        <v>109</v>
      </c>
      <c r="D52" t="s">
        <v>122</v>
      </c>
      <c r="E52" t="s">
        <v>9</v>
      </c>
      <c r="F52" t="s">
        <v>10</v>
      </c>
      <c r="G52" t="s">
        <v>869</v>
      </c>
      <c r="H52">
        <v>443</v>
      </c>
    </row>
    <row r="53" spans="1:8" x14ac:dyDescent="0.3">
      <c r="A53">
        <v>52</v>
      </c>
      <c r="B53" t="s">
        <v>123</v>
      </c>
      <c r="C53" t="s">
        <v>109</v>
      </c>
      <c r="D53" t="s">
        <v>124</v>
      </c>
      <c r="E53" t="s">
        <v>13</v>
      </c>
      <c r="F53" t="s">
        <v>10</v>
      </c>
      <c r="G53" t="s">
        <v>870</v>
      </c>
      <c r="H53">
        <v>264</v>
      </c>
    </row>
    <row r="54" spans="1:8" x14ac:dyDescent="0.3">
      <c r="A54">
        <v>53</v>
      </c>
      <c r="B54" t="s">
        <v>125</v>
      </c>
      <c r="C54" t="s">
        <v>109</v>
      </c>
      <c r="D54" t="s">
        <v>126</v>
      </c>
      <c r="E54" t="s">
        <v>23</v>
      </c>
      <c r="F54" t="s">
        <v>10</v>
      </c>
      <c r="G54" t="s">
        <v>871</v>
      </c>
      <c r="H54">
        <v>993</v>
      </c>
    </row>
    <row r="55" spans="1:8" x14ac:dyDescent="0.3">
      <c r="A55">
        <v>54</v>
      </c>
      <c r="B55" t="s">
        <v>127</v>
      </c>
      <c r="C55" t="s">
        <v>109</v>
      </c>
      <c r="D55" t="s">
        <v>128</v>
      </c>
      <c r="E55" t="s">
        <v>23</v>
      </c>
      <c r="F55" t="s">
        <v>10</v>
      </c>
      <c r="G55" t="s">
        <v>872</v>
      </c>
      <c r="H55">
        <v>332</v>
      </c>
    </row>
    <row r="56" spans="1:8" x14ac:dyDescent="0.3">
      <c r="A56">
        <v>55</v>
      </c>
      <c r="B56" t="s">
        <v>129</v>
      </c>
      <c r="C56" t="s">
        <v>109</v>
      </c>
      <c r="D56" t="s">
        <v>130</v>
      </c>
      <c r="E56" t="s">
        <v>23</v>
      </c>
      <c r="F56" t="s">
        <v>10</v>
      </c>
      <c r="G56" t="s">
        <v>873</v>
      </c>
      <c r="H56">
        <v>589</v>
      </c>
    </row>
    <row r="57" spans="1:8" x14ac:dyDescent="0.3">
      <c r="A57">
        <v>56</v>
      </c>
      <c r="B57" t="s">
        <v>131</v>
      </c>
      <c r="C57" t="s">
        <v>109</v>
      </c>
      <c r="D57" t="s">
        <v>132</v>
      </c>
      <c r="E57" t="s">
        <v>23</v>
      </c>
      <c r="F57" t="s">
        <v>10</v>
      </c>
      <c r="G57" t="s">
        <v>869</v>
      </c>
      <c r="H57">
        <v>316</v>
      </c>
    </row>
    <row r="58" spans="1:8" x14ac:dyDescent="0.3">
      <c r="A58">
        <v>57</v>
      </c>
      <c r="B58" t="s">
        <v>133</v>
      </c>
      <c r="C58" t="s">
        <v>134</v>
      </c>
      <c r="D58" t="s">
        <v>135</v>
      </c>
      <c r="E58" t="s">
        <v>13</v>
      </c>
      <c r="F58" t="s">
        <v>10</v>
      </c>
      <c r="G58" t="s">
        <v>870</v>
      </c>
      <c r="H58">
        <v>545</v>
      </c>
    </row>
    <row r="59" spans="1:8" x14ac:dyDescent="0.3">
      <c r="A59">
        <v>58</v>
      </c>
      <c r="B59" t="s">
        <v>136</v>
      </c>
      <c r="C59" t="s">
        <v>137</v>
      </c>
      <c r="D59" t="s">
        <v>138</v>
      </c>
      <c r="E59" t="s">
        <v>9</v>
      </c>
      <c r="F59" t="s">
        <v>10</v>
      </c>
      <c r="G59" t="s">
        <v>871</v>
      </c>
      <c r="H59">
        <v>285</v>
      </c>
    </row>
    <row r="60" spans="1:8" x14ac:dyDescent="0.3">
      <c r="A60">
        <v>59</v>
      </c>
      <c r="B60" t="s">
        <v>139</v>
      </c>
      <c r="C60" t="s">
        <v>137</v>
      </c>
      <c r="D60" t="s">
        <v>140</v>
      </c>
      <c r="E60" t="s">
        <v>9</v>
      </c>
      <c r="F60" t="s">
        <v>10</v>
      </c>
      <c r="G60" t="s">
        <v>872</v>
      </c>
      <c r="H60">
        <v>602</v>
      </c>
    </row>
    <row r="61" spans="1:8" x14ac:dyDescent="0.3">
      <c r="A61">
        <v>60</v>
      </c>
      <c r="B61" t="s">
        <v>141</v>
      </c>
      <c r="C61" t="s">
        <v>134</v>
      </c>
      <c r="D61" t="s">
        <v>142</v>
      </c>
      <c r="E61" t="s">
        <v>23</v>
      </c>
      <c r="F61" t="s">
        <v>10</v>
      </c>
      <c r="G61" t="s">
        <v>873</v>
      </c>
      <c r="H61">
        <v>211</v>
      </c>
    </row>
    <row r="62" spans="1:8" x14ac:dyDescent="0.3">
      <c r="A62">
        <v>61</v>
      </c>
      <c r="B62" t="s">
        <v>143</v>
      </c>
      <c r="C62" t="s">
        <v>137</v>
      </c>
      <c r="D62" t="s">
        <v>144</v>
      </c>
      <c r="E62" t="s">
        <v>23</v>
      </c>
      <c r="F62" t="s">
        <v>10</v>
      </c>
      <c r="G62" t="s">
        <v>869</v>
      </c>
      <c r="H62">
        <v>405</v>
      </c>
    </row>
    <row r="63" spans="1:8" x14ac:dyDescent="0.3">
      <c r="A63">
        <v>62</v>
      </c>
      <c r="B63" t="s">
        <v>145</v>
      </c>
      <c r="C63" t="s">
        <v>134</v>
      </c>
      <c r="D63" t="s">
        <v>146</v>
      </c>
      <c r="E63" t="s">
        <v>9</v>
      </c>
      <c r="F63" t="s">
        <v>10</v>
      </c>
      <c r="G63" t="s">
        <v>870</v>
      </c>
      <c r="H63">
        <v>631</v>
      </c>
    </row>
    <row r="64" spans="1:8" x14ac:dyDescent="0.3">
      <c r="A64">
        <v>63</v>
      </c>
      <c r="B64" t="s">
        <v>147</v>
      </c>
      <c r="C64" t="s">
        <v>137</v>
      </c>
      <c r="D64" t="s">
        <v>148</v>
      </c>
      <c r="E64" t="s">
        <v>23</v>
      </c>
      <c r="F64" t="s">
        <v>10</v>
      </c>
      <c r="G64" t="s">
        <v>871</v>
      </c>
      <c r="H64">
        <v>414</v>
      </c>
    </row>
    <row r="65" spans="1:8" x14ac:dyDescent="0.3">
      <c r="A65">
        <v>64</v>
      </c>
      <c r="B65" t="s">
        <v>149</v>
      </c>
      <c r="C65" t="s">
        <v>137</v>
      </c>
      <c r="D65" t="s">
        <v>150</v>
      </c>
      <c r="E65" t="s">
        <v>13</v>
      </c>
      <c r="F65" t="s">
        <v>10</v>
      </c>
      <c r="G65" t="s">
        <v>872</v>
      </c>
      <c r="H65">
        <v>356</v>
      </c>
    </row>
    <row r="66" spans="1:8" x14ac:dyDescent="0.3">
      <c r="A66">
        <v>65</v>
      </c>
      <c r="B66" t="s">
        <v>151</v>
      </c>
      <c r="C66" t="s">
        <v>137</v>
      </c>
      <c r="D66" t="s">
        <v>152</v>
      </c>
      <c r="E66" t="s">
        <v>9</v>
      </c>
      <c r="F66" t="s">
        <v>10</v>
      </c>
      <c r="G66" t="s">
        <v>873</v>
      </c>
      <c r="H66">
        <v>226</v>
      </c>
    </row>
    <row r="67" spans="1:8" x14ac:dyDescent="0.3">
      <c r="A67">
        <v>66</v>
      </c>
      <c r="B67" t="s">
        <v>153</v>
      </c>
      <c r="C67" t="s">
        <v>137</v>
      </c>
      <c r="D67" t="s">
        <v>154</v>
      </c>
      <c r="E67" t="s">
        <v>13</v>
      </c>
      <c r="F67" t="s">
        <v>10</v>
      </c>
      <c r="G67" t="s">
        <v>869</v>
      </c>
      <c r="H67">
        <v>451</v>
      </c>
    </row>
    <row r="68" spans="1:8" x14ac:dyDescent="0.3">
      <c r="A68">
        <v>67</v>
      </c>
      <c r="B68" t="s">
        <v>155</v>
      </c>
      <c r="C68" t="s">
        <v>137</v>
      </c>
      <c r="D68" t="s">
        <v>156</v>
      </c>
      <c r="E68" t="s">
        <v>23</v>
      </c>
      <c r="F68" t="s">
        <v>10</v>
      </c>
      <c r="G68" t="s">
        <v>870</v>
      </c>
      <c r="H68">
        <v>219</v>
      </c>
    </row>
    <row r="69" spans="1:8" x14ac:dyDescent="0.3">
      <c r="A69">
        <v>68</v>
      </c>
      <c r="B69" t="s">
        <v>37</v>
      </c>
      <c r="C69" t="s">
        <v>137</v>
      </c>
      <c r="D69" t="s">
        <v>157</v>
      </c>
      <c r="E69" t="s">
        <v>23</v>
      </c>
      <c r="F69" t="s">
        <v>10</v>
      </c>
      <c r="G69" t="s">
        <v>871</v>
      </c>
      <c r="H69">
        <v>746</v>
      </c>
    </row>
    <row r="70" spans="1:8" x14ac:dyDescent="0.3">
      <c r="A70">
        <v>69</v>
      </c>
      <c r="B70" t="s">
        <v>158</v>
      </c>
      <c r="C70" t="s">
        <v>159</v>
      </c>
      <c r="D70" t="s">
        <v>160</v>
      </c>
      <c r="E70" t="s">
        <v>9</v>
      </c>
      <c r="F70" t="s">
        <v>10</v>
      </c>
      <c r="G70" t="s">
        <v>872</v>
      </c>
      <c r="H70">
        <v>188</v>
      </c>
    </row>
    <row r="71" spans="1:8" x14ac:dyDescent="0.3">
      <c r="A71">
        <v>70</v>
      </c>
      <c r="B71" t="s">
        <v>161</v>
      </c>
      <c r="C71" t="s">
        <v>162</v>
      </c>
      <c r="D71" t="s">
        <v>163</v>
      </c>
      <c r="E71" t="s">
        <v>23</v>
      </c>
      <c r="F71" t="s">
        <v>10</v>
      </c>
      <c r="G71" t="s">
        <v>873</v>
      </c>
      <c r="H71">
        <v>694</v>
      </c>
    </row>
    <row r="72" spans="1:8" x14ac:dyDescent="0.3">
      <c r="A72">
        <v>71</v>
      </c>
      <c r="B72" t="s">
        <v>164</v>
      </c>
      <c r="C72" t="s">
        <v>162</v>
      </c>
      <c r="D72" t="s">
        <v>165</v>
      </c>
      <c r="E72" t="s">
        <v>13</v>
      </c>
      <c r="F72" t="s">
        <v>10</v>
      </c>
      <c r="G72" t="s">
        <v>869</v>
      </c>
      <c r="H72">
        <v>963</v>
      </c>
    </row>
    <row r="73" spans="1:8" x14ac:dyDescent="0.3">
      <c r="A73">
        <v>72</v>
      </c>
      <c r="B73" t="s">
        <v>166</v>
      </c>
      <c r="C73" t="s">
        <v>162</v>
      </c>
      <c r="D73" t="s">
        <v>167</v>
      </c>
      <c r="E73" t="s">
        <v>23</v>
      </c>
      <c r="F73" t="s">
        <v>10</v>
      </c>
      <c r="G73" t="s">
        <v>870</v>
      </c>
      <c r="H73">
        <v>792</v>
      </c>
    </row>
    <row r="74" spans="1:8" x14ac:dyDescent="0.3">
      <c r="A74">
        <v>73</v>
      </c>
      <c r="B74" t="s">
        <v>168</v>
      </c>
      <c r="C74" t="s">
        <v>162</v>
      </c>
      <c r="D74" t="s">
        <v>169</v>
      </c>
      <c r="E74" t="s">
        <v>23</v>
      </c>
      <c r="F74" t="s">
        <v>10</v>
      </c>
      <c r="G74" t="s">
        <v>871</v>
      </c>
      <c r="H74">
        <v>527</v>
      </c>
    </row>
    <row r="75" spans="1:8" x14ac:dyDescent="0.3">
      <c r="A75">
        <v>74</v>
      </c>
      <c r="B75" t="s">
        <v>170</v>
      </c>
      <c r="C75" t="s">
        <v>162</v>
      </c>
      <c r="D75" t="s">
        <v>171</v>
      </c>
      <c r="E75" t="s">
        <v>23</v>
      </c>
      <c r="F75" t="s">
        <v>10</v>
      </c>
      <c r="G75" t="s">
        <v>872</v>
      </c>
      <c r="H75">
        <v>282</v>
      </c>
    </row>
    <row r="76" spans="1:8" x14ac:dyDescent="0.3">
      <c r="A76">
        <v>75</v>
      </c>
      <c r="B76" t="s">
        <v>172</v>
      </c>
      <c r="C76" t="s">
        <v>162</v>
      </c>
      <c r="D76" t="s">
        <v>173</v>
      </c>
      <c r="E76" t="s">
        <v>23</v>
      </c>
      <c r="F76" t="s">
        <v>10</v>
      </c>
      <c r="G76" t="s">
        <v>873</v>
      </c>
      <c r="H76">
        <v>774</v>
      </c>
    </row>
    <row r="77" spans="1:8" x14ac:dyDescent="0.3">
      <c r="A77">
        <v>76</v>
      </c>
      <c r="B77" t="s">
        <v>174</v>
      </c>
      <c r="C77" t="s">
        <v>162</v>
      </c>
      <c r="D77" t="s">
        <v>175</v>
      </c>
      <c r="E77" t="s">
        <v>9</v>
      </c>
      <c r="F77" t="s">
        <v>10</v>
      </c>
      <c r="G77" t="s">
        <v>869</v>
      </c>
      <c r="H77">
        <v>540</v>
      </c>
    </row>
    <row r="78" spans="1:8" x14ac:dyDescent="0.3">
      <c r="A78">
        <v>77</v>
      </c>
      <c r="B78" t="s">
        <v>176</v>
      </c>
      <c r="C78" t="s">
        <v>177</v>
      </c>
      <c r="D78" t="s">
        <v>178</v>
      </c>
      <c r="E78" t="s">
        <v>13</v>
      </c>
      <c r="F78" t="s">
        <v>10</v>
      </c>
      <c r="G78" t="s">
        <v>870</v>
      </c>
      <c r="H78">
        <v>169</v>
      </c>
    </row>
    <row r="79" spans="1:8" x14ac:dyDescent="0.3">
      <c r="A79">
        <v>78</v>
      </c>
      <c r="B79" t="s">
        <v>179</v>
      </c>
      <c r="C79" t="s">
        <v>177</v>
      </c>
      <c r="D79" t="s">
        <v>180</v>
      </c>
      <c r="E79" t="s">
        <v>9</v>
      </c>
      <c r="F79" t="s">
        <v>10</v>
      </c>
      <c r="G79" t="s">
        <v>871</v>
      </c>
      <c r="H79">
        <v>617</v>
      </c>
    </row>
    <row r="80" spans="1:8" x14ac:dyDescent="0.3">
      <c r="A80">
        <v>79</v>
      </c>
      <c r="B80" t="s">
        <v>181</v>
      </c>
      <c r="C80" t="s">
        <v>177</v>
      </c>
      <c r="D80" t="s">
        <v>182</v>
      </c>
      <c r="E80" t="s">
        <v>9</v>
      </c>
      <c r="F80" t="s">
        <v>10</v>
      </c>
      <c r="G80" t="s">
        <v>872</v>
      </c>
      <c r="H80">
        <v>298</v>
      </c>
    </row>
    <row r="81" spans="1:8" x14ac:dyDescent="0.3">
      <c r="A81">
        <v>80</v>
      </c>
      <c r="B81" t="s">
        <v>183</v>
      </c>
      <c r="C81" t="s">
        <v>177</v>
      </c>
      <c r="D81" t="s">
        <v>184</v>
      </c>
      <c r="E81" t="s">
        <v>13</v>
      </c>
      <c r="F81" t="s">
        <v>10</v>
      </c>
      <c r="G81" t="s">
        <v>873</v>
      </c>
      <c r="H81">
        <v>546</v>
      </c>
    </row>
    <row r="82" spans="1:8" x14ac:dyDescent="0.3">
      <c r="A82">
        <v>81</v>
      </c>
      <c r="B82" t="s">
        <v>185</v>
      </c>
      <c r="C82" t="s">
        <v>177</v>
      </c>
      <c r="D82" t="s">
        <v>186</v>
      </c>
      <c r="E82" t="s">
        <v>13</v>
      </c>
      <c r="F82" t="s">
        <v>10</v>
      </c>
      <c r="G82" t="s">
        <v>869</v>
      </c>
      <c r="H82">
        <v>389</v>
      </c>
    </row>
    <row r="83" spans="1:8" x14ac:dyDescent="0.3">
      <c r="A83">
        <v>82</v>
      </c>
      <c r="B83" t="s">
        <v>187</v>
      </c>
      <c r="C83" t="s">
        <v>177</v>
      </c>
      <c r="D83" t="s">
        <v>188</v>
      </c>
      <c r="E83" t="s">
        <v>23</v>
      </c>
      <c r="F83" t="s">
        <v>10</v>
      </c>
      <c r="G83" t="s">
        <v>870</v>
      </c>
      <c r="H83">
        <v>458</v>
      </c>
    </row>
    <row r="84" spans="1:8" x14ac:dyDescent="0.3">
      <c r="A84">
        <v>83</v>
      </c>
      <c r="B84" t="s">
        <v>189</v>
      </c>
      <c r="C84" t="s">
        <v>177</v>
      </c>
      <c r="D84" t="s">
        <v>190</v>
      </c>
      <c r="E84" t="s">
        <v>13</v>
      </c>
      <c r="F84" t="s">
        <v>10</v>
      </c>
      <c r="G84" t="s">
        <v>871</v>
      </c>
      <c r="H84">
        <v>456</v>
      </c>
    </row>
    <row r="85" spans="1:8" x14ac:dyDescent="0.3">
      <c r="A85">
        <v>84</v>
      </c>
      <c r="B85" t="s">
        <v>191</v>
      </c>
      <c r="C85" t="s">
        <v>177</v>
      </c>
      <c r="D85" t="s">
        <v>192</v>
      </c>
      <c r="E85" t="s">
        <v>9</v>
      </c>
      <c r="F85" t="s">
        <v>10</v>
      </c>
      <c r="G85" t="s">
        <v>872</v>
      </c>
      <c r="H85">
        <v>653</v>
      </c>
    </row>
    <row r="86" spans="1:8" x14ac:dyDescent="0.3">
      <c r="A86">
        <v>85</v>
      </c>
      <c r="B86" t="s">
        <v>193</v>
      </c>
      <c r="C86" t="s">
        <v>177</v>
      </c>
      <c r="D86" t="s">
        <v>194</v>
      </c>
      <c r="E86" t="s">
        <v>23</v>
      </c>
      <c r="F86" t="s">
        <v>10</v>
      </c>
      <c r="G86" t="s">
        <v>873</v>
      </c>
      <c r="H86">
        <v>725</v>
      </c>
    </row>
    <row r="87" spans="1:8" x14ac:dyDescent="0.3">
      <c r="A87">
        <v>86</v>
      </c>
      <c r="B87" t="s">
        <v>195</v>
      </c>
      <c r="C87" t="s">
        <v>177</v>
      </c>
      <c r="D87" t="s">
        <v>196</v>
      </c>
      <c r="E87" t="s">
        <v>9</v>
      </c>
      <c r="F87" t="s">
        <v>10</v>
      </c>
      <c r="G87" t="s">
        <v>869</v>
      </c>
      <c r="H87">
        <v>980</v>
      </c>
    </row>
    <row r="88" spans="1:8" x14ac:dyDescent="0.3">
      <c r="A88">
        <v>87</v>
      </c>
      <c r="B88" t="s">
        <v>197</v>
      </c>
      <c r="C88" t="s">
        <v>177</v>
      </c>
      <c r="D88" t="s">
        <v>198</v>
      </c>
      <c r="E88" t="s">
        <v>9</v>
      </c>
      <c r="F88" t="s">
        <v>10</v>
      </c>
      <c r="G88" t="s">
        <v>870</v>
      </c>
      <c r="H88">
        <v>184</v>
      </c>
    </row>
    <row r="89" spans="1:8" x14ac:dyDescent="0.3">
      <c r="A89">
        <v>88</v>
      </c>
      <c r="B89" t="s">
        <v>199</v>
      </c>
      <c r="C89" t="s">
        <v>177</v>
      </c>
      <c r="D89" t="s">
        <v>200</v>
      </c>
      <c r="E89" t="s">
        <v>13</v>
      </c>
      <c r="F89" t="s">
        <v>10</v>
      </c>
      <c r="G89" t="s">
        <v>871</v>
      </c>
      <c r="H89">
        <v>584</v>
      </c>
    </row>
    <row r="90" spans="1:8" x14ac:dyDescent="0.3">
      <c r="A90">
        <v>89</v>
      </c>
      <c r="B90" t="s">
        <v>201</v>
      </c>
      <c r="C90" t="s">
        <v>177</v>
      </c>
      <c r="D90" t="s">
        <v>202</v>
      </c>
      <c r="E90" t="s">
        <v>13</v>
      </c>
      <c r="F90" t="s">
        <v>10</v>
      </c>
      <c r="G90" t="s">
        <v>872</v>
      </c>
      <c r="H90">
        <v>350</v>
      </c>
    </row>
    <row r="91" spans="1:8" x14ac:dyDescent="0.3">
      <c r="A91">
        <v>90</v>
      </c>
      <c r="B91" t="s">
        <v>203</v>
      </c>
      <c r="C91" t="s">
        <v>177</v>
      </c>
      <c r="D91" t="s">
        <v>204</v>
      </c>
      <c r="E91" t="s">
        <v>23</v>
      </c>
      <c r="F91" t="s">
        <v>10</v>
      </c>
      <c r="G91" t="s">
        <v>873</v>
      </c>
      <c r="H91">
        <v>878</v>
      </c>
    </row>
    <row r="92" spans="1:8" x14ac:dyDescent="0.3">
      <c r="A92">
        <v>91</v>
      </c>
      <c r="B92" t="s">
        <v>205</v>
      </c>
      <c r="C92" t="s">
        <v>177</v>
      </c>
      <c r="D92" t="s">
        <v>206</v>
      </c>
      <c r="E92" t="s">
        <v>23</v>
      </c>
      <c r="F92" t="s">
        <v>10</v>
      </c>
      <c r="G92" t="s">
        <v>869</v>
      </c>
      <c r="H92">
        <v>937</v>
      </c>
    </row>
    <row r="93" spans="1:8" x14ac:dyDescent="0.3">
      <c r="A93">
        <v>92</v>
      </c>
      <c r="B93" t="s">
        <v>207</v>
      </c>
      <c r="C93" t="s">
        <v>177</v>
      </c>
      <c r="D93" t="s">
        <v>208</v>
      </c>
      <c r="E93" t="s">
        <v>13</v>
      </c>
      <c r="F93" t="s">
        <v>10</v>
      </c>
      <c r="G93" t="s">
        <v>870</v>
      </c>
      <c r="H93">
        <v>846</v>
      </c>
    </row>
    <row r="94" spans="1:8" x14ac:dyDescent="0.3">
      <c r="A94">
        <v>93</v>
      </c>
      <c r="B94" t="s">
        <v>209</v>
      </c>
      <c r="C94" t="s">
        <v>177</v>
      </c>
      <c r="D94" t="s">
        <v>210</v>
      </c>
      <c r="E94" t="s">
        <v>23</v>
      </c>
      <c r="F94" t="s">
        <v>10</v>
      </c>
      <c r="G94" t="s">
        <v>871</v>
      </c>
      <c r="H94">
        <v>750</v>
      </c>
    </row>
    <row r="95" spans="1:8" x14ac:dyDescent="0.3">
      <c r="A95">
        <v>94</v>
      </c>
      <c r="B95" t="s">
        <v>211</v>
      </c>
      <c r="C95" t="s">
        <v>177</v>
      </c>
      <c r="D95" t="s">
        <v>212</v>
      </c>
      <c r="E95" t="s">
        <v>9</v>
      </c>
      <c r="F95" t="s">
        <v>10</v>
      </c>
      <c r="G95" t="s">
        <v>872</v>
      </c>
      <c r="H95">
        <v>995</v>
      </c>
    </row>
    <row r="96" spans="1:8" x14ac:dyDescent="0.3">
      <c r="A96">
        <v>95</v>
      </c>
      <c r="B96" t="s">
        <v>213</v>
      </c>
      <c r="C96" t="s">
        <v>177</v>
      </c>
      <c r="D96" t="s">
        <v>214</v>
      </c>
      <c r="E96" t="s">
        <v>13</v>
      </c>
      <c r="F96" t="s">
        <v>10</v>
      </c>
      <c r="G96" t="s">
        <v>873</v>
      </c>
      <c r="H96">
        <v>510</v>
      </c>
    </row>
    <row r="97" spans="1:8" x14ac:dyDescent="0.3">
      <c r="A97">
        <v>96</v>
      </c>
      <c r="B97" t="s">
        <v>215</v>
      </c>
      <c r="C97" t="s">
        <v>177</v>
      </c>
      <c r="D97" t="s">
        <v>216</v>
      </c>
      <c r="E97" t="s">
        <v>13</v>
      </c>
      <c r="F97" t="s">
        <v>10</v>
      </c>
      <c r="G97" t="s">
        <v>869</v>
      </c>
      <c r="H97">
        <v>902</v>
      </c>
    </row>
    <row r="98" spans="1:8" x14ac:dyDescent="0.3">
      <c r="A98">
        <v>97</v>
      </c>
      <c r="B98" t="s">
        <v>217</v>
      </c>
      <c r="C98" t="s">
        <v>177</v>
      </c>
      <c r="D98" t="s">
        <v>218</v>
      </c>
      <c r="E98" t="s">
        <v>9</v>
      </c>
      <c r="F98" t="s">
        <v>10</v>
      </c>
      <c r="G98" t="s">
        <v>870</v>
      </c>
      <c r="H98">
        <v>744</v>
      </c>
    </row>
    <row r="99" spans="1:8" x14ac:dyDescent="0.3">
      <c r="A99">
        <v>98</v>
      </c>
      <c r="B99" t="s">
        <v>219</v>
      </c>
      <c r="C99" t="s">
        <v>159</v>
      </c>
      <c r="D99" t="s">
        <v>220</v>
      </c>
      <c r="E99" t="s">
        <v>9</v>
      </c>
      <c r="F99" t="s">
        <v>10</v>
      </c>
      <c r="G99" t="s">
        <v>871</v>
      </c>
      <c r="H99">
        <v>674</v>
      </c>
    </row>
    <row r="100" spans="1:8" x14ac:dyDescent="0.3">
      <c r="A100">
        <v>99</v>
      </c>
      <c r="B100" t="s">
        <v>221</v>
      </c>
      <c r="C100" t="s">
        <v>159</v>
      </c>
      <c r="D100" t="s">
        <v>222</v>
      </c>
      <c r="E100" t="s">
        <v>9</v>
      </c>
      <c r="F100" t="s">
        <v>10</v>
      </c>
      <c r="G100" t="s">
        <v>872</v>
      </c>
      <c r="H100">
        <v>417</v>
      </c>
    </row>
    <row r="101" spans="1:8" x14ac:dyDescent="0.3">
      <c r="A101">
        <v>100</v>
      </c>
      <c r="B101" t="s">
        <v>223</v>
      </c>
      <c r="C101" t="s">
        <v>159</v>
      </c>
      <c r="D101" t="s">
        <v>224</v>
      </c>
      <c r="E101" t="s">
        <v>9</v>
      </c>
      <c r="F101" t="s">
        <v>10</v>
      </c>
      <c r="G101" t="s">
        <v>873</v>
      </c>
      <c r="H101">
        <v>903</v>
      </c>
    </row>
    <row r="102" spans="1:8" x14ac:dyDescent="0.3">
      <c r="A102">
        <v>101</v>
      </c>
      <c r="B102" t="s">
        <v>225</v>
      </c>
      <c r="C102" t="s">
        <v>159</v>
      </c>
      <c r="D102" t="s">
        <v>226</v>
      </c>
      <c r="E102" t="s">
        <v>9</v>
      </c>
      <c r="F102" t="s">
        <v>10</v>
      </c>
      <c r="G102" t="s">
        <v>869</v>
      </c>
      <c r="H102">
        <v>654</v>
      </c>
    </row>
    <row r="103" spans="1:8" x14ac:dyDescent="0.3">
      <c r="A103">
        <v>102</v>
      </c>
      <c r="B103" t="s">
        <v>227</v>
      </c>
      <c r="C103" t="s">
        <v>159</v>
      </c>
      <c r="D103" t="s">
        <v>228</v>
      </c>
      <c r="E103" t="s">
        <v>23</v>
      </c>
      <c r="F103" t="s">
        <v>10</v>
      </c>
      <c r="G103" t="s">
        <v>870</v>
      </c>
      <c r="H103">
        <v>117</v>
      </c>
    </row>
    <row r="104" spans="1:8" x14ac:dyDescent="0.3">
      <c r="A104">
        <v>103</v>
      </c>
      <c r="B104" t="s">
        <v>229</v>
      </c>
      <c r="C104" t="s">
        <v>159</v>
      </c>
      <c r="D104" t="s">
        <v>230</v>
      </c>
      <c r="E104" t="s">
        <v>9</v>
      </c>
      <c r="F104" t="s">
        <v>10</v>
      </c>
      <c r="G104" t="s">
        <v>871</v>
      </c>
      <c r="H104">
        <v>734</v>
      </c>
    </row>
    <row r="105" spans="1:8" x14ac:dyDescent="0.3">
      <c r="A105">
        <v>104</v>
      </c>
      <c r="B105" t="s">
        <v>231</v>
      </c>
      <c r="C105" t="s">
        <v>159</v>
      </c>
      <c r="D105" t="s">
        <v>232</v>
      </c>
      <c r="E105" t="s">
        <v>9</v>
      </c>
      <c r="F105" t="s">
        <v>10</v>
      </c>
      <c r="G105" t="s">
        <v>872</v>
      </c>
      <c r="H105">
        <v>166</v>
      </c>
    </row>
    <row r="106" spans="1:8" x14ac:dyDescent="0.3">
      <c r="A106">
        <v>105</v>
      </c>
      <c r="B106" t="s">
        <v>233</v>
      </c>
      <c r="C106" t="s">
        <v>159</v>
      </c>
      <c r="D106" t="s">
        <v>226</v>
      </c>
      <c r="E106" t="s">
        <v>9</v>
      </c>
      <c r="F106" t="s">
        <v>10</v>
      </c>
      <c r="G106" t="s">
        <v>873</v>
      </c>
      <c r="H106">
        <v>181</v>
      </c>
    </row>
    <row r="107" spans="1:8" x14ac:dyDescent="0.3">
      <c r="A107">
        <v>106</v>
      </c>
      <c r="B107" t="s">
        <v>231</v>
      </c>
      <c r="C107" t="s">
        <v>159</v>
      </c>
      <c r="D107" t="s">
        <v>232</v>
      </c>
      <c r="E107" t="s">
        <v>9</v>
      </c>
      <c r="F107" t="s">
        <v>10</v>
      </c>
      <c r="G107" t="s">
        <v>869</v>
      </c>
      <c r="H107">
        <v>932</v>
      </c>
    </row>
    <row r="108" spans="1:8" x14ac:dyDescent="0.3">
      <c r="A108">
        <v>107</v>
      </c>
      <c r="B108" t="s">
        <v>234</v>
      </c>
      <c r="C108" t="s">
        <v>159</v>
      </c>
      <c r="D108" t="s">
        <v>235</v>
      </c>
      <c r="E108" t="s">
        <v>23</v>
      </c>
      <c r="F108" t="s">
        <v>10</v>
      </c>
      <c r="G108" t="s">
        <v>870</v>
      </c>
      <c r="H108">
        <v>830</v>
      </c>
    </row>
    <row r="109" spans="1:8" x14ac:dyDescent="0.3">
      <c r="A109">
        <v>108</v>
      </c>
      <c r="B109" t="s">
        <v>236</v>
      </c>
      <c r="C109" t="s">
        <v>159</v>
      </c>
      <c r="D109" t="s">
        <v>237</v>
      </c>
      <c r="E109" t="s">
        <v>23</v>
      </c>
      <c r="F109" t="s">
        <v>10</v>
      </c>
      <c r="G109" t="s">
        <v>871</v>
      </c>
      <c r="H109">
        <v>973</v>
      </c>
    </row>
    <row r="110" spans="1:8" x14ac:dyDescent="0.3">
      <c r="A110">
        <v>109</v>
      </c>
      <c r="B110" t="s">
        <v>238</v>
      </c>
      <c r="C110" t="s">
        <v>159</v>
      </c>
      <c r="D110" t="s">
        <v>239</v>
      </c>
      <c r="E110" t="s">
        <v>23</v>
      </c>
      <c r="F110" t="s">
        <v>10</v>
      </c>
      <c r="G110" t="s">
        <v>872</v>
      </c>
      <c r="H110">
        <v>107</v>
      </c>
    </row>
    <row r="111" spans="1:8" x14ac:dyDescent="0.3">
      <c r="A111">
        <v>110</v>
      </c>
      <c r="B111" t="s">
        <v>240</v>
      </c>
      <c r="C111" t="s">
        <v>159</v>
      </c>
      <c r="D111" t="s">
        <v>241</v>
      </c>
      <c r="E111" t="s">
        <v>23</v>
      </c>
      <c r="F111" t="s">
        <v>10</v>
      </c>
      <c r="G111" t="s">
        <v>873</v>
      </c>
      <c r="H111">
        <v>683</v>
      </c>
    </row>
    <row r="112" spans="1:8" x14ac:dyDescent="0.3">
      <c r="A112">
        <v>111</v>
      </c>
      <c r="B112" t="s">
        <v>242</v>
      </c>
      <c r="C112" t="s">
        <v>159</v>
      </c>
      <c r="D112" t="s">
        <v>243</v>
      </c>
      <c r="E112" t="s">
        <v>13</v>
      </c>
      <c r="F112" t="s">
        <v>10</v>
      </c>
      <c r="G112" t="s">
        <v>869</v>
      </c>
      <c r="H112">
        <v>175</v>
      </c>
    </row>
    <row r="113" spans="1:8" x14ac:dyDescent="0.3">
      <c r="A113">
        <v>112</v>
      </c>
      <c r="B113" t="s">
        <v>244</v>
      </c>
      <c r="C113" t="s">
        <v>159</v>
      </c>
      <c r="D113" t="s">
        <v>245</v>
      </c>
      <c r="E113" t="s">
        <v>9</v>
      </c>
      <c r="F113" t="s">
        <v>10</v>
      </c>
      <c r="G113" t="s">
        <v>870</v>
      </c>
      <c r="H113">
        <v>465</v>
      </c>
    </row>
    <row r="114" spans="1:8" x14ac:dyDescent="0.3">
      <c r="A114">
        <v>113</v>
      </c>
      <c r="B114" t="s">
        <v>246</v>
      </c>
      <c r="C114" t="s">
        <v>159</v>
      </c>
      <c r="D114" t="s">
        <v>247</v>
      </c>
      <c r="E114" t="s">
        <v>13</v>
      </c>
      <c r="F114" t="s">
        <v>10</v>
      </c>
      <c r="G114" t="s">
        <v>871</v>
      </c>
      <c r="H114">
        <v>955</v>
      </c>
    </row>
    <row r="115" spans="1:8" x14ac:dyDescent="0.3">
      <c r="A115">
        <v>114</v>
      </c>
      <c r="B115" t="s">
        <v>248</v>
      </c>
      <c r="C115" t="s">
        <v>249</v>
      </c>
      <c r="D115" t="s">
        <v>250</v>
      </c>
      <c r="E115" t="s">
        <v>9</v>
      </c>
      <c r="F115" t="s">
        <v>10</v>
      </c>
      <c r="G115" t="s">
        <v>872</v>
      </c>
      <c r="H115">
        <v>337</v>
      </c>
    </row>
    <row r="116" spans="1:8" x14ac:dyDescent="0.3">
      <c r="A116">
        <v>115</v>
      </c>
      <c r="B116" t="s">
        <v>251</v>
      </c>
      <c r="C116" t="s">
        <v>249</v>
      </c>
      <c r="D116" t="s">
        <v>252</v>
      </c>
      <c r="E116" t="s">
        <v>9</v>
      </c>
      <c r="F116" t="s">
        <v>10</v>
      </c>
      <c r="G116" t="s">
        <v>873</v>
      </c>
      <c r="H116">
        <v>538</v>
      </c>
    </row>
    <row r="117" spans="1:8" x14ac:dyDescent="0.3">
      <c r="A117">
        <v>116</v>
      </c>
      <c r="B117" t="s">
        <v>253</v>
      </c>
      <c r="C117" t="s">
        <v>249</v>
      </c>
      <c r="D117" t="s">
        <v>254</v>
      </c>
      <c r="E117" t="s">
        <v>23</v>
      </c>
      <c r="F117" t="s">
        <v>10</v>
      </c>
      <c r="G117" t="s">
        <v>869</v>
      </c>
      <c r="H117">
        <v>956</v>
      </c>
    </row>
    <row r="118" spans="1:8" x14ac:dyDescent="0.3">
      <c r="A118">
        <v>117</v>
      </c>
      <c r="B118" t="s">
        <v>255</v>
      </c>
      <c r="C118" t="s">
        <v>249</v>
      </c>
      <c r="D118" t="s">
        <v>256</v>
      </c>
      <c r="E118" t="s">
        <v>13</v>
      </c>
      <c r="F118" t="s">
        <v>10</v>
      </c>
      <c r="G118" t="s">
        <v>870</v>
      </c>
      <c r="H118">
        <v>899</v>
      </c>
    </row>
    <row r="119" spans="1:8" x14ac:dyDescent="0.3">
      <c r="A119">
        <v>118</v>
      </c>
      <c r="B119" t="s">
        <v>257</v>
      </c>
      <c r="C119" t="s">
        <v>249</v>
      </c>
      <c r="D119" t="s">
        <v>258</v>
      </c>
      <c r="E119" t="s">
        <v>9</v>
      </c>
      <c r="F119" t="s">
        <v>10</v>
      </c>
      <c r="G119" t="s">
        <v>871</v>
      </c>
      <c r="H119">
        <v>669</v>
      </c>
    </row>
    <row r="120" spans="1:8" x14ac:dyDescent="0.3">
      <c r="A120">
        <v>119</v>
      </c>
      <c r="B120" t="s">
        <v>259</v>
      </c>
      <c r="C120" t="s">
        <v>249</v>
      </c>
      <c r="D120" t="s">
        <v>260</v>
      </c>
      <c r="E120" t="s">
        <v>9</v>
      </c>
      <c r="F120" t="s">
        <v>10</v>
      </c>
      <c r="G120" t="s">
        <v>872</v>
      </c>
      <c r="H120">
        <v>569</v>
      </c>
    </row>
    <row r="121" spans="1:8" x14ac:dyDescent="0.3">
      <c r="A121">
        <v>120</v>
      </c>
      <c r="B121" t="s">
        <v>261</v>
      </c>
      <c r="C121" t="s">
        <v>249</v>
      </c>
      <c r="D121" t="s">
        <v>262</v>
      </c>
      <c r="E121" t="s">
        <v>9</v>
      </c>
      <c r="F121" t="s">
        <v>10</v>
      </c>
      <c r="G121" t="s">
        <v>873</v>
      </c>
      <c r="H121">
        <v>510</v>
      </c>
    </row>
    <row r="122" spans="1:8" x14ac:dyDescent="0.3">
      <c r="A122">
        <v>121</v>
      </c>
      <c r="B122" t="s">
        <v>263</v>
      </c>
      <c r="C122" t="s">
        <v>249</v>
      </c>
      <c r="D122" t="s">
        <v>264</v>
      </c>
      <c r="E122" t="s">
        <v>9</v>
      </c>
      <c r="F122" t="s">
        <v>10</v>
      </c>
      <c r="G122" t="s">
        <v>869</v>
      </c>
      <c r="H122">
        <v>897</v>
      </c>
    </row>
    <row r="123" spans="1:8" x14ac:dyDescent="0.3">
      <c r="A123">
        <v>122</v>
      </c>
      <c r="B123" t="s">
        <v>265</v>
      </c>
      <c r="C123" t="s">
        <v>249</v>
      </c>
      <c r="D123" t="s">
        <v>266</v>
      </c>
      <c r="E123" t="s">
        <v>9</v>
      </c>
      <c r="F123" t="s">
        <v>10</v>
      </c>
      <c r="G123" t="s">
        <v>870</v>
      </c>
      <c r="H123">
        <v>152</v>
      </c>
    </row>
    <row r="124" spans="1:8" x14ac:dyDescent="0.3">
      <c r="A124">
        <v>123</v>
      </c>
      <c r="B124" t="s">
        <v>267</v>
      </c>
      <c r="C124" t="s">
        <v>249</v>
      </c>
      <c r="D124" t="s">
        <v>268</v>
      </c>
      <c r="E124" t="s">
        <v>9</v>
      </c>
      <c r="F124" t="s">
        <v>10</v>
      </c>
      <c r="G124" t="s">
        <v>871</v>
      </c>
      <c r="H124">
        <v>240</v>
      </c>
    </row>
    <row r="125" spans="1:8" x14ac:dyDescent="0.3">
      <c r="A125">
        <v>124</v>
      </c>
      <c r="B125" t="s">
        <v>269</v>
      </c>
      <c r="C125" t="s">
        <v>249</v>
      </c>
      <c r="D125" t="s">
        <v>270</v>
      </c>
      <c r="E125" t="s">
        <v>9</v>
      </c>
      <c r="F125" t="s">
        <v>10</v>
      </c>
      <c r="G125" t="s">
        <v>872</v>
      </c>
      <c r="H125">
        <v>497</v>
      </c>
    </row>
    <row r="126" spans="1:8" x14ac:dyDescent="0.3">
      <c r="A126">
        <v>125</v>
      </c>
      <c r="B126" t="s">
        <v>271</v>
      </c>
      <c r="C126" t="s">
        <v>249</v>
      </c>
      <c r="D126" t="s">
        <v>272</v>
      </c>
      <c r="E126" t="s">
        <v>9</v>
      </c>
      <c r="F126" t="s">
        <v>10</v>
      </c>
      <c r="G126" t="s">
        <v>873</v>
      </c>
      <c r="H126">
        <v>170</v>
      </c>
    </row>
    <row r="127" spans="1:8" x14ac:dyDescent="0.3">
      <c r="A127">
        <v>126</v>
      </c>
      <c r="B127" t="s">
        <v>273</v>
      </c>
      <c r="C127" t="s">
        <v>249</v>
      </c>
      <c r="D127" t="s">
        <v>274</v>
      </c>
      <c r="E127" t="s">
        <v>9</v>
      </c>
      <c r="F127" t="s">
        <v>10</v>
      </c>
      <c r="G127" t="s">
        <v>869</v>
      </c>
      <c r="H127">
        <v>283</v>
      </c>
    </row>
    <row r="128" spans="1:8" x14ac:dyDescent="0.3">
      <c r="A128">
        <v>127</v>
      </c>
      <c r="B128" t="s">
        <v>275</v>
      </c>
      <c r="C128" t="s">
        <v>249</v>
      </c>
      <c r="D128" t="s">
        <v>276</v>
      </c>
      <c r="E128" t="s">
        <v>9</v>
      </c>
      <c r="F128" t="s">
        <v>10</v>
      </c>
      <c r="G128" t="s">
        <v>870</v>
      </c>
      <c r="H128">
        <v>573</v>
      </c>
    </row>
    <row r="129" spans="1:8" x14ac:dyDescent="0.3">
      <c r="A129">
        <v>128</v>
      </c>
      <c r="B129" t="s">
        <v>277</v>
      </c>
      <c r="C129" t="s">
        <v>249</v>
      </c>
      <c r="D129" t="s">
        <v>278</v>
      </c>
      <c r="E129" t="s">
        <v>9</v>
      </c>
      <c r="F129" t="s">
        <v>10</v>
      </c>
      <c r="G129" t="s">
        <v>871</v>
      </c>
      <c r="H129">
        <v>688</v>
      </c>
    </row>
    <row r="130" spans="1:8" x14ac:dyDescent="0.3">
      <c r="A130">
        <v>129</v>
      </c>
      <c r="B130" t="s">
        <v>279</v>
      </c>
      <c r="C130" t="s">
        <v>249</v>
      </c>
      <c r="D130" t="s">
        <v>280</v>
      </c>
      <c r="E130" t="s">
        <v>9</v>
      </c>
      <c r="F130" t="s">
        <v>10</v>
      </c>
      <c r="G130" t="s">
        <v>872</v>
      </c>
      <c r="H130">
        <v>118</v>
      </c>
    </row>
    <row r="131" spans="1:8" x14ac:dyDescent="0.3">
      <c r="A131">
        <v>130</v>
      </c>
      <c r="B131" t="s">
        <v>281</v>
      </c>
      <c r="C131" t="s">
        <v>249</v>
      </c>
      <c r="D131" t="s">
        <v>282</v>
      </c>
      <c r="E131" t="s">
        <v>9</v>
      </c>
      <c r="F131" t="s">
        <v>10</v>
      </c>
      <c r="G131" t="s">
        <v>873</v>
      </c>
      <c r="H131">
        <v>160</v>
      </c>
    </row>
    <row r="132" spans="1:8" x14ac:dyDescent="0.3">
      <c r="A132">
        <v>131</v>
      </c>
      <c r="B132" t="s">
        <v>209</v>
      </c>
      <c r="C132" t="s">
        <v>283</v>
      </c>
      <c r="D132" t="s">
        <v>284</v>
      </c>
      <c r="E132" t="s">
        <v>23</v>
      </c>
      <c r="F132" t="s">
        <v>10</v>
      </c>
      <c r="G132" t="s">
        <v>869</v>
      </c>
      <c r="H132">
        <v>790</v>
      </c>
    </row>
    <row r="133" spans="1:8" x14ac:dyDescent="0.3">
      <c r="A133">
        <v>132</v>
      </c>
      <c r="B133" t="s">
        <v>217</v>
      </c>
      <c r="C133" t="s">
        <v>283</v>
      </c>
      <c r="D133" t="s">
        <v>218</v>
      </c>
      <c r="E133" t="s">
        <v>9</v>
      </c>
      <c r="F133" t="s">
        <v>10</v>
      </c>
      <c r="G133" t="s">
        <v>870</v>
      </c>
      <c r="H133">
        <v>575</v>
      </c>
    </row>
    <row r="134" spans="1:8" x14ac:dyDescent="0.3">
      <c r="A134">
        <v>133</v>
      </c>
      <c r="B134" t="s">
        <v>285</v>
      </c>
      <c r="C134" t="s">
        <v>283</v>
      </c>
      <c r="D134" t="s">
        <v>286</v>
      </c>
      <c r="E134" t="s">
        <v>9</v>
      </c>
      <c r="F134" t="s">
        <v>10</v>
      </c>
      <c r="G134" t="s">
        <v>871</v>
      </c>
      <c r="H134">
        <v>947</v>
      </c>
    </row>
    <row r="135" spans="1:8" x14ac:dyDescent="0.3">
      <c r="A135">
        <v>134</v>
      </c>
      <c r="B135" t="s">
        <v>287</v>
      </c>
      <c r="C135" t="s">
        <v>283</v>
      </c>
      <c r="D135" t="s">
        <v>288</v>
      </c>
      <c r="E135" t="s">
        <v>9</v>
      </c>
      <c r="F135" t="s">
        <v>10</v>
      </c>
      <c r="G135" t="s">
        <v>872</v>
      </c>
      <c r="H135">
        <v>859</v>
      </c>
    </row>
    <row r="136" spans="1:8" x14ac:dyDescent="0.3">
      <c r="A136">
        <v>135</v>
      </c>
      <c r="B136" t="s">
        <v>289</v>
      </c>
      <c r="C136" t="s">
        <v>283</v>
      </c>
      <c r="D136" t="s">
        <v>290</v>
      </c>
      <c r="E136" t="s">
        <v>23</v>
      </c>
      <c r="F136" t="s">
        <v>10</v>
      </c>
      <c r="G136" t="s">
        <v>873</v>
      </c>
      <c r="H136">
        <v>944</v>
      </c>
    </row>
    <row r="137" spans="1:8" x14ac:dyDescent="0.3">
      <c r="A137">
        <v>136</v>
      </c>
      <c r="B137" t="s">
        <v>291</v>
      </c>
      <c r="C137" t="s">
        <v>283</v>
      </c>
      <c r="D137" t="s">
        <v>292</v>
      </c>
      <c r="E137" t="s">
        <v>9</v>
      </c>
      <c r="F137" t="s">
        <v>10</v>
      </c>
      <c r="G137" t="s">
        <v>869</v>
      </c>
      <c r="H137">
        <v>311</v>
      </c>
    </row>
    <row r="138" spans="1:8" x14ac:dyDescent="0.3">
      <c r="A138">
        <v>137</v>
      </c>
      <c r="B138" t="s">
        <v>293</v>
      </c>
      <c r="C138" t="s">
        <v>283</v>
      </c>
      <c r="D138" t="s">
        <v>212</v>
      </c>
      <c r="E138" t="s">
        <v>9</v>
      </c>
      <c r="F138" t="s">
        <v>10</v>
      </c>
      <c r="G138" t="s">
        <v>870</v>
      </c>
      <c r="H138">
        <v>625</v>
      </c>
    </row>
    <row r="139" spans="1:8" x14ac:dyDescent="0.3">
      <c r="A139">
        <v>138</v>
      </c>
      <c r="B139" t="s">
        <v>294</v>
      </c>
      <c r="C139" t="s">
        <v>283</v>
      </c>
      <c r="D139" t="s">
        <v>295</v>
      </c>
      <c r="E139" t="s">
        <v>13</v>
      </c>
      <c r="F139" t="s">
        <v>10</v>
      </c>
      <c r="G139" t="s">
        <v>871</v>
      </c>
      <c r="H139">
        <v>376</v>
      </c>
    </row>
    <row r="140" spans="1:8" x14ac:dyDescent="0.3">
      <c r="A140">
        <v>139</v>
      </c>
      <c r="B140" t="s">
        <v>296</v>
      </c>
      <c r="C140" t="s">
        <v>283</v>
      </c>
      <c r="D140" t="s">
        <v>297</v>
      </c>
      <c r="E140" t="s">
        <v>9</v>
      </c>
      <c r="F140" t="s">
        <v>10</v>
      </c>
      <c r="G140" t="s">
        <v>872</v>
      </c>
      <c r="H140">
        <v>463</v>
      </c>
    </row>
    <row r="141" spans="1:8" x14ac:dyDescent="0.3">
      <c r="A141">
        <v>140</v>
      </c>
      <c r="B141" t="s">
        <v>298</v>
      </c>
      <c r="C141" t="s">
        <v>283</v>
      </c>
      <c r="D141" t="s">
        <v>299</v>
      </c>
      <c r="E141" t="s">
        <v>9</v>
      </c>
      <c r="F141" t="s">
        <v>10</v>
      </c>
      <c r="G141" t="s">
        <v>873</v>
      </c>
      <c r="H141">
        <v>460</v>
      </c>
    </row>
    <row r="142" spans="1:8" x14ac:dyDescent="0.3">
      <c r="A142">
        <v>141</v>
      </c>
      <c r="B142" t="s">
        <v>300</v>
      </c>
      <c r="C142" t="s">
        <v>283</v>
      </c>
      <c r="D142" t="s">
        <v>301</v>
      </c>
      <c r="E142" t="s">
        <v>23</v>
      </c>
      <c r="F142" t="s">
        <v>10</v>
      </c>
      <c r="G142" t="s">
        <v>869</v>
      </c>
      <c r="H142">
        <v>674</v>
      </c>
    </row>
    <row r="143" spans="1:8" x14ac:dyDescent="0.3">
      <c r="A143">
        <v>142</v>
      </c>
      <c r="B143" t="s">
        <v>302</v>
      </c>
      <c r="C143" t="s">
        <v>283</v>
      </c>
      <c r="D143" t="s">
        <v>303</v>
      </c>
      <c r="E143" t="s">
        <v>13</v>
      </c>
      <c r="F143" t="s">
        <v>10</v>
      </c>
      <c r="G143" t="s">
        <v>870</v>
      </c>
      <c r="H143">
        <v>433</v>
      </c>
    </row>
    <row r="144" spans="1:8" x14ac:dyDescent="0.3">
      <c r="A144">
        <v>143</v>
      </c>
      <c r="B144" t="s">
        <v>304</v>
      </c>
      <c r="C144" t="s">
        <v>283</v>
      </c>
      <c r="D144" t="s">
        <v>305</v>
      </c>
      <c r="E144" t="s">
        <v>9</v>
      </c>
      <c r="F144" t="s">
        <v>10</v>
      </c>
      <c r="G144" t="s">
        <v>871</v>
      </c>
      <c r="H144">
        <v>760</v>
      </c>
    </row>
    <row r="145" spans="1:8" x14ac:dyDescent="0.3">
      <c r="A145">
        <v>144</v>
      </c>
      <c r="B145" t="s">
        <v>306</v>
      </c>
      <c r="C145" t="s">
        <v>283</v>
      </c>
      <c r="D145" t="s">
        <v>307</v>
      </c>
      <c r="E145" t="s">
        <v>13</v>
      </c>
      <c r="F145" t="s">
        <v>10</v>
      </c>
      <c r="G145" t="s">
        <v>872</v>
      </c>
      <c r="H145">
        <v>750</v>
      </c>
    </row>
    <row r="146" spans="1:8" x14ac:dyDescent="0.3">
      <c r="A146">
        <v>145</v>
      </c>
      <c r="B146" t="s">
        <v>308</v>
      </c>
      <c r="C146" t="s">
        <v>283</v>
      </c>
      <c r="D146" t="s">
        <v>309</v>
      </c>
      <c r="E146" t="s">
        <v>13</v>
      </c>
      <c r="F146" t="s">
        <v>10</v>
      </c>
      <c r="G146" t="s">
        <v>873</v>
      </c>
      <c r="H146">
        <v>729</v>
      </c>
    </row>
    <row r="147" spans="1:8" x14ac:dyDescent="0.3">
      <c r="A147">
        <v>146</v>
      </c>
      <c r="B147" t="s">
        <v>310</v>
      </c>
      <c r="C147" t="s">
        <v>283</v>
      </c>
      <c r="D147" t="s">
        <v>311</v>
      </c>
      <c r="E147" t="s">
        <v>9</v>
      </c>
      <c r="F147" t="s">
        <v>10</v>
      </c>
      <c r="G147" t="s">
        <v>869</v>
      </c>
      <c r="H147">
        <v>313</v>
      </c>
    </row>
    <row r="148" spans="1:8" x14ac:dyDescent="0.3">
      <c r="A148">
        <v>147</v>
      </c>
      <c r="B148" t="s">
        <v>312</v>
      </c>
      <c r="C148" t="s">
        <v>283</v>
      </c>
      <c r="D148" t="s">
        <v>313</v>
      </c>
      <c r="E148" t="s">
        <v>23</v>
      </c>
      <c r="F148" t="s">
        <v>10</v>
      </c>
      <c r="G148" t="s">
        <v>870</v>
      </c>
      <c r="H148">
        <v>160</v>
      </c>
    </row>
    <row r="149" spans="1:8" x14ac:dyDescent="0.3">
      <c r="A149">
        <v>148</v>
      </c>
      <c r="B149" t="s">
        <v>78</v>
      </c>
      <c r="C149" t="s">
        <v>79</v>
      </c>
      <c r="D149" t="s">
        <v>80</v>
      </c>
      <c r="E149" t="s">
        <v>9</v>
      </c>
      <c r="F149" t="s">
        <v>10</v>
      </c>
      <c r="G149" t="s">
        <v>871</v>
      </c>
      <c r="H149">
        <v>296</v>
      </c>
    </row>
    <row r="150" spans="1:8" x14ac:dyDescent="0.3">
      <c r="A150">
        <v>149</v>
      </c>
      <c r="B150" t="s">
        <v>81</v>
      </c>
      <c r="C150" t="s">
        <v>79</v>
      </c>
      <c r="D150" t="s">
        <v>82</v>
      </c>
      <c r="E150" t="s">
        <v>9</v>
      </c>
      <c r="F150" t="s">
        <v>10</v>
      </c>
      <c r="G150" t="s">
        <v>872</v>
      </c>
      <c r="H150">
        <v>986</v>
      </c>
    </row>
    <row r="151" spans="1:8" x14ac:dyDescent="0.3">
      <c r="A151">
        <v>150</v>
      </c>
      <c r="B151" t="s">
        <v>83</v>
      </c>
      <c r="C151" t="s">
        <v>79</v>
      </c>
      <c r="D151" t="s">
        <v>84</v>
      </c>
      <c r="E151" t="s">
        <v>9</v>
      </c>
      <c r="F151" t="s">
        <v>10</v>
      </c>
      <c r="G151" t="s">
        <v>873</v>
      </c>
      <c r="H151">
        <v>275</v>
      </c>
    </row>
    <row r="152" spans="1:8" x14ac:dyDescent="0.3">
      <c r="A152">
        <v>151</v>
      </c>
      <c r="B152" t="s">
        <v>314</v>
      </c>
      <c r="C152" t="s">
        <v>79</v>
      </c>
      <c r="D152" t="s">
        <v>315</v>
      </c>
      <c r="E152" t="s">
        <v>9</v>
      </c>
      <c r="F152" t="s">
        <v>10</v>
      </c>
      <c r="G152" t="s">
        <v>869</v>
      </c>
      <c r="H152">
        <v>643</v>
      </c>
    </row>
    <row r="153" spans="1:8" x14ac:dyDescent="0.3">
      <c r="A153">
        <v>152</v>
      </c>
      <c r="B153" t="s">
        <v>85</v>
      </c>
      <c r="C153" t="s">
        <v>79</v>
      </c>
      <c r="D153" t="s">
        <v>86</v>
      </c>
      <c r="E153" t="s">
        <v>9</v>
      </c>
      <c r="F153" t="s">
        <v>10</v>
      </c>
      <c r="G153" t="s">
        <v>870</v>
      </c>
      <c r="H153">
        <v>539</v>
      </c>
    </row>
    <row r="154" spans="1:8" x14ac:dyDescent="0.3">
      <c r="A154">
        <v>153</v>
      </c>
      <c r="B154" t="s">
        <v>316</v>
      </c>
      <c r="C154" t="s">
        <v>317</v>
      </c>
      <c r="D154" t="s">
        <v>318</v>
      </c>
      <c r="E154" t="s">
        <v>13</v>
      </c>
      <c r="F154" t="s">
        <v>10</v>
      </c>
      <c r="G154" t="s">
        <v>871</v>
      </c>
      <c r="H154">
        <v>102</v>
      </c>
    </row>
    <row r="155" spans="1:8" x14ac:dyDescent="0.3">
      <c r="A155">
        <v>154</v>
      </c>
      <c r="B155" t="s">
        <v>319</v>
      </c>
      <c r="C155" t="s">
        <v>317</v>
      </c>
      <c r="D155" t="s">
        <v>320</v>
      </c>
      <c r="E155" t="s">
        <v>9</v>
      </c>
      <c r="F155" t="s">
        <v>10</v>
      </c>
      <c r="G155" t="s">
        <v>872</v>
      </c>
      <c r="H155">
        <v>685</v>
      </c>
    </row>
    <row r="156" spans="1:8" x14ac:dyDescent="0.3">
      <c r="A156">
        <v>155</v>
      </c>
      <c r="B156" t="s">
        <v>321</v>
      </c>
      <c r="C156" t="s">
        <v>322</v>
      </c>
      <c r="D156" t="s">
        <v>323</v>
      </c>
      <c r="E156" t="s">
        <v>9</v>
      </c>
      <c r="F156" t="s">
        <v>10</v>
      </c>
      <c r="G156" t="s">
        <v>873</v>
      </c>
      <c r="H156">
        <v>365</v>
      </c>
    </row>
    <row r="157" spans="1:8" x14ac:dyDescent="0.3">
      <c r="A157">
        <v>156</v>
      </c>
      <c r="B157" t="s">
        <v>324</v>
      </c>
      <c r="C157" t="s">
        <v>322</v>
      </c>
      <c r="D157" t="s">
        <v>325</v>
      </c>
      <c r="E157" t="s">
        <v>9</v>
      </c>
      <c r="F157" t="s">
        <v>10</v>
      </c>
      <c r="G157" t="s">
        <v>869</v>
      </c>
      <c r="H157">
        <v>712</v>
      </c>
    </row>
    <row r="158" spans="1:8" x14ac:dyDescent="0.3">
      <c r="A158">
        <v>157</v>
      </c>
      <c r="B158" t="s">
        <v>326</v>
      </c>
      <c r="C158" t="s">
        <v>322</v>
      </c>
      <c r="D158" t="s">
        <v>327</v>
      </c>
      <c r="E158" t="s">
        <v>9</v>
      </c>
      <c r="F158" t="s">
        <v>10</v>
      </c>
      <c r="G158" t="s">
        <v>870</v>
      </c>
      <c r="H158">
        <v>154</v>
      </c>
    </row>
    <row r="159" spans="1:8" x14ac:dyDescent="0.3">
      <c r="A159">
        <v>158</v>
      </c>
      <c r="B159" t="s">
        <v>328</v>
      </c>
      <c r="C159" t="s">
        <v>322</v>
      </c>
      <c r="D159" t="s">
        <v>329</v>
      </c>
      <c r="E159" t="s">
        <v>9</v>
      </c>
      <c r="F159" t="s">
        <v>10</v>
      </c>
      <c r="G159" t="s">
        <v>871</v>
      </c>
      <c r="H159">
        <v>275</v>
      </c>
    </row>
    <row r="160" spans="1:8" x14ac:dyDescent="0.3">
      <c r="A160">
        <v>159</v>
      </c>
      <c r="B160" t="s">
        <v>330</v>
      </c>
      <c r="C160" t="s">
        <v>322</v>
      </c>
      <c r="D160" t="s">
        <v>331</v>
      </c>
      <c r="E160" t="s">
        <v>23</v>
      </c>
      <c r="F160" t="s">
        <v>10</v>
      </c>
      <c r="G160" t="s">
        <v>872</v>
      </c>
      <c r="H160">
        <v>817</v>
      </c>
    </row>
    <row r="161" spans="1:8" x14ac:dyDescent="0.3">
      <c r="A161">
        <v>160</v>
      </c>
      <c r="B161" t="s">
        <v>332</v>
      </c>
      <c r="C161" t="s">
        <v>322</v>
      </c>
      <c r="D161" t="s">
        <v>333</v>
      </c>
      <c r="E161" t="s">
        <v>23</v>
      </c>
      <c r="F161" t="s">
        <v>10</v>
      </c>
      <c r="G161" t="s">
        <v>873</v>
      </c>
      <c r="H161">
        <v>863</v>
      </c>
    </row>
    <row r="162" spans="1:8" x14ac:dyDescent="0.3">
      <c r="A162">
        <v>161</v>
      </c>
      <c r="B162" t="s">
        <v>334</v>
      </c>
      <c r="C162" t="s">
        <v>322</v>
      </c>
      <c r="D162" t="s">
        <v>335</v>
      </c>
      <c r="E162" t="s">
        <v>13</v>
      </c>
      <c r="F162" t="s">
        <v>10</v>
      </c>
      <c r="G162" t="s">
        <v>869</v>
      </c>
      <c r="H162">
        <v>331</v>
      </c>
    </row>
    <row r="163" spans="1:8" x14ac:dyDescent="0.3">
      <c r="A163">
        <v>162</v>
      </c>
      <c r="B163" t="s">
        <v>336</v>
      </c>
      <c r="C163" t="s">
        <v>322</v>
      </c>
      <c r="D163" t="s">
        <v>337</v>
      </c>
      <c r="E163" t="s">
        <v>23</v>
      </c>
      <c r="F163" t="s">
        <v>10</v>
      </c>
      <c r="G163" t="s">
        <v>870</v>
      </c>
      <c r="H163">
        <v>820</v>
      </c>
    </row>
    <row r="164" spans="1:8" x14ac:dyDescent="0.3">
      <c r="A164">
        <v>163</v>
      </c>
      <c r="B164" t="s">
        <v>338</v>
      </c>
      <c r="C164" t="s">
        <v>322</v>
      </c>
      <c r="D164" t="s">
        <v>339</v>
      </c>
      <c r="E164" t="s">
        <v>23</v>
      </c>
      <c r="F164" t="s">
        <v>10</v>
      </c>
      <c r="G164" t="s">
        <v>871</v>
      </c>
      <c r="H164">
        <v>693</v>
      </c>
    </row>
    <row r="165" spans="1:8" x14ac:dyDescent="0.3">
      <c r="A165">
        <v>164</v>
      </c>
      <c r="B165" t="s">
        <v>340</v>
      </c>
      <c r="C165" t="s">
        <v>322</v>
      </c>
      <c r="D165" t="s">
        <v>341</v>
      </c>
      <c r="E165" t="s">
        <v>23</v>
      </c>
      <c r="F165" t="s">
        <v>10</v>
      </c>
      <c r="G165" t="s">
        <v>872</v>
      </c>
      <c r="H165">
        <v>185</v>
      </c>
    </row>
    <row r="166" spans="1:8" x14ac:dyDescent="0.3">
      <c r="A166">
        <v>165</v>
      </c>
      <c r="B166" t="s">
        <v>342</v>
      </c>
      <c r="C166" t="s">
        <v>343</v>
      </c>
      <c r="D166" t="s">
        <v>344</v>
      </c>
      <c r="E166" t="s">
        <v>9</v>
      </c>
      <c r="F166" t="s">
        <v>345</v>
      </c>
      <c r="G166" t="s">
        <v>873</v>
      </c>
      <c r="H166">
        <v>225</v>
      </c>
    </row>
    <row r="167" spans="1:8" x14ac:dyDescent="0.3">
      <c r="A167">
        <v>166</v>
      </c>
      <c r="B167" t="s">
        <v>346</v>
      </c>
      <c r="C167" t="s">
        <v>343</v>
      </c>
      <c r="D167" t="s">
        <v>347</v>
      </c>
      <c r="E167" t="s">
        <v>9</v>
      </c>
      <c r="F167" t="s">
        <v>345</v>
      </c>
      <c r="G167" t="s">
        <v>869</v>
      </c>
      <c r="H167">
        <v>657</v>
      </c>
    </row>
    <row r="168" spans="1:8" x14ac:dyDescent="0.3">
      <c r="A168">
        <v>167</v>
      </c>
      <c r="B168" t="s">
        <v>348</v>
      </c>
      <c r="C168" t="s">
        <v>343</v>
      </c>
      <c r="D168" t="s">
        <v>349</v>
      </c>
      <c r="E168" t="s">
        <v>9</v>
      </c>
      <c r="F168" t="s">
        <v>345</v>
      </c>
      <c r="G168" t="s">
        <v>870</v>
      </c>
      <c r="H168">
        <v>176</v>
      </c>
    </row>
    <row r="169" spans="1:8" x14ac:dyDescent="0.3">
      <c r="A169">
        <v>168</v>
      </c>
      <c r="B169" t="s">
        <v>350</v>
      </c>
      <c r="C169" t="s">
        <v>343</v>
      </c>
      <c r="D169" t="s">
        <v>351</v>
      </c>
      <c r="E169" t="s">
        <v>9</v>
      </c>
      <c r="F169" t="s">
        <v>345</v>
      </c>
      <c r="G169" t="s">
        <v>871</v>
      </c>
      <c r="H169">
        <v>977</v>
      </c>
    </row>
    <row r="170" spans="1:8" x14ac:dyDescent="0.3">
      <c r="A170">
        <v>169</v>
      </c>
      <c r="B170" t="s">
        <v>352</v>
      </c>
      <c r="C170" t="s">
        <v>343</v>
      </c>
      <c r="D170" t="s">
        <v>353</v>
      </c>
      <c r="E170" t="s">
        <v>9</v>
      </c>
      <c r="F170" t="s">
        <v>345</v>
      </c>
      <c r="G170" t="s">
        <v>872</v>
      </c>
      <c r="H170">
        <v>659</v>
      </c>
    </row>
    <row r="171" spans="1:8" x14ac:dyDescent="0.3">
      <c r="A171">
        <v>170</v>
      </c>
      <c r="B171" t="s">
        <v>354</v>
      </c>
      <c r="C171" t="s">
        <v>343</v>
      </c>
      <c r="D171" t="s">
        <v>355</v>
      </c>
      <c r="E171" t="s">
        <v>9</v>
      </c>
      <c r="F171" t="s">
        <v>345</v>
      </c>
      <c r="G171" t="s">
        <v>873</v>
      </c>
      <c r="H171">
        <v>484</v>
      </c>
    </row>
    <row r="172" spans="1:8" x14ac:dyDescent="0.3">
      <c r="A172">
        <v>171</v>
      </c>
      <c r="B172" t="s">
        <v>356</v>
      </c>
      <c r="C172" t="s">
        <v>343</v>
      </c>
      <c r="D172" t="s">
        <v>357</v>
      </c>
      <c r="E172" t="s">
        <v>9</v>
      </c>
      <c r="F172" t="s">
        <v>345</v>
      </c>
      <c r="G172" t="s">
        <v>869</v>
      </c>
      <c r="H172">
        <v>828</v>
      </c>
    </row>
    <row r="173" spans="1:8" x14ac:dyDescent="0.3">
      <c r="A173">
        <v>172</v>
      </c>
      <c r="B173" t="s">
        <v>358</v>
      </c>
      <c r="C173" t="s">
        <v>343</v>
      </c>
      <c r="D173" t="s">
        <v>359</v>
      </c>
      <c r="E173" t="s">
        <v>9</v>
      </c>
      <c r="F173" t="s">
        <v>345</v>
      </c>
      <c r="G173" t="s">
        <v>870</v>
      </c>
      <c r="H173">
        <v>253</v>
      </c>
    </row>
    <row r="174" spans="1:8" x14ac:dyDescent="0.3">
      <c r="A174">
        <v>173</v>
      </c>
      <c r="B174" t="s">
        <v>360</v>
      </c>
      <c r="C174" t="s">
        <v>343</v>
      </c>
      <c r="D174" t="s">
        <v>361</v>
      </c>
      <c r="E174" t="s">
        <v>9</v>
      </c>
      <c r="F174" t="s">
        <v>345</v>
      </c>
      <c r="G174" t="s">
        <v>871</v>
      </c>
      <c r="H174">
        <v>342</v>
      </c>
    </row>
    <row r="175" spans="1:8" x14ac:dyDescent="0.3">
      <c r="A175">
        <v>174</v>
      </c>
      <c r="B175" t="s">
        <v>362</v>
      </c>
      <c r="C175" t="s">
        <v>343</v>
      </c>
      <c r="D175" t="s">
        <v>363</v>
      </c>
      <c r="E175" t="s">
        <v>9</v>
      </c>
      <c r="F175" t="s">
        <v>345</v>
      </c>
      <c r="G175" t="s">
        <v>872</v>
      </c>
      <c r="H175">
        <v>198</v>
      </c>
    </row>
    <row r="176" spans="1:8" x14ac:dyDescent="0.3">
      <c r="A176">
        <v>175</v>
      </c>
      <c r="B176" t="s">
        <v>364</v>
      </c>
      <c r="C176" t="s">
        <v>343</v>
      </c>
      <c r="D176" t="s">
        <v>365</v>
      </c>
      <c r="E176" t="s">
        <v>9</v>
      </c>
      <c r="F176" t="s">
        <v>345</v>
      </c>
      <c r="G176" t="s">
        <v>873</v>
      </c>
      <c r="H176">
        <v>139</v>
      </c>
    </row>
    <row r="177" spans="1:8" x14ac:dyDescent="0.3">
      <c r="A177">
        <v>176</v>
      </c>
      <c r="B177" t="s">
        <v>366</v>
      </c>
      <c r="C177" t="s">
        <v>343</v>
      </c>
      <c r="D177" t="s">
        <v>367</v>
      </c>
      <c r="E177" t="s">
        <v>9</v>
      </c>
      <c r="F177" t="s">
        <v>345</v>
      </c>
      <c r="G177" t="s">
        <v>869</v>
      </c>
      <c r="H177">
        <v>317</v>
      </c>
    </row>
    <row r="178" spans="1:8" x14ac:dyDescent="0.3">
      <c r="A178">
        <v>177</v>
      </c>
      <c r="B178" t="s">
        <v>368</v>
      </c>
      <c r="C178" t="s">
        <v>343</v>
      </c>
      <c r="D178" t="s">
        <v>369</v>
      </c>
      <c r="E178" t="s">
        <v>13</v>
      </c>
      <c r="F178" t="s">
        <v>345</v>
      </c>
      <c r="G178" t="s">
        <v>870</v>
      </c>
      <c r="H178">
        <v>477</v>
      </c>
    </row>
    <row r="179" spans="1:8" x14ac:dyDescent="0.3">
      <c r="A179">
        <v>178</v>
      </c>
      <c r="B179" t="s">
        <v>370</v>
      </c>
      <c r="C179" t="s">
        <v>343</v>
      </c>
      <c r="D179" t="s">
        <v>371</v>
      </c>
      <c r="E179" t="s">
        <v>9</v>
      </c>
      <c r="F179" t="s">
        <v>345</v>
      </c>
      <c r="G179" t="s">
        <v>871</v>
      </c>
      <c r="H179">
        <v>958</v>
      </c>
    </row>
    <row r="180" spans="1:8" x14ac:dyDescent="0.3">
      <c r="A180">
        <v>179</v>
      </c>
      <c r="B180" t="s">
        <v>372</v>
      </c>
      <c r="C180" t="s">
        <v>343</v>
      </c>
      <c r="D180" t="s">
        <v>373</v>
      </c>
      <c r="E180" t="s">
        <v>13</v>
      </c>
      <c r="F180" t="s">
        <v>345</v>
      </c>
      <c r="G180" t="s">
        <v>872</v>
      </c>
      <c r="H180">
        <v>620</v>
      </c>
    </row>
    <row r="181" spans="1:8" x14ac:dyDescent="0.3">
      <c r="A181">
        <v>180</v>
      </c>
      <c r="B181" t="s">
        <v>374</v>
      </c>
      <c r="C181" t="s">
        <v>343</v>
      </c>
      <c r="D181" t="s">
        <v>375</v>
      </c>
      <c r="E181" t="s">
        <v>13</v>
      </c>
      <c r="F181" t="s">
        <v>345</v>
      </c>
      <c r="G181" t="s">
        <v>873</v>
      </c>
      <c r="H181">
        <v>769</v>
      </c>
    </row>
    <row r="182" spans="1:8" x14ac:dyDescent="0.3">
      <c r="A182">
        <v>181</v>
      </c>
      <c r="B182" t="s">
        <v>376</v>
      </c>
      <c r="C182" t="s">
        <v>343</v>
      </c>
      <c r="D182" t="s">
        <v>377</v>
      </c>
      <c r="E182" t="s">
        <v>9</v>
      </c>
      <c r="F182" t="s">
        <v>345</v>
      </c>
      <c r="G182" t="s">
        <v>869</v>
      </c>
      <c r="H182">
        <v>827</v>
      </c>
    </row>
    <row r="183" spans="1:8" x14ac:dyDescent="0.3">
      <c r="A183">
        <v>182</v>
      </c>
      <c r="B183" t="s">
        <v>378</v>
      </c>
      <c r="C183" t="s">
        <v>343</v>
      </c>
      <c r="D183" t="s">
        <v>379</v>
      </c>
      <c r="E183" t="s">
        <v>13</v>
      </c>
      <c r="F183" t="s">
        <v>345</v>
      </c>
      <c r="G183" t="s">
        <v>870</v>
      </c>
      <c r="H183">
        <v>397</v>
      </c>
    </row>
    <row r="184" spans="1:8" x14ac:dyDescent="0.3">
      <c r="A184">
        <v>183</v>
      </c>
      <c r="B184" t="s">
        <v>380</v>
      </c>
      <c r="C184" t="s">
        <v>343</v>
      </c>
      <c r="D184" t="s">
        <v>381</v>
      </c>
      <c r="E184" t="s">
        <v>9</v>
      </c>
      <c r="F184" t="s">
        <v>345</v>
      </c>
      <c r="G184" t="s">
        <v>871</v>
      </c>
      <c r="H184">
        <v>704</v>
      </c>
    </row>
    <row r="185" spans="1:8" x14ac:dyDescent="0.3">
      <c r="A185">
        <v>184</v>
      </c>
      <c r="B185" t="s">
        <v>382</v>
      </c>
      <c r="C185" t="s">
        <v>343</v>
      </c>
      <c r="D185" t="s">
        <v>383</v>
      </c>
      <c r="E185" t="s">
        <v>13</v>
      </c>
      <c r="F185" t="s">
        <v>345</v>
      </c>
      <c r="G185" t="s">
        <v>872</v>
      </c>
      <c r="H185">
        <v>362</v>
      </c>
    </row>
    <row r="186" spans="1:8" x14ac:dyDescent="0.3">
      <c r="A186">
        <v>185</v>
      </c>
      <c r="B186" t="s">
        <v>384</v>
      </c>
      <c r="C186" t="s">
        <v>343</v>
      </c>
      <c r="D186" t="s">
        <v>383</v>
      </c>
      <c r="E186" t="s">
        <v>13</v>
      </c>
      <c r="F186" t="s">
        <v>345</v>
      </c>
      <c r="G186" t="s">
        <v>873</v>
      </c>
      <c r="H186">
        <v>463</v>
      </c>
    </row>
    <row r="187" spans="1:8" x14ac:dyDescent="0.3">
      <c r="A187">
        <v>186</v>
      </c>
      <c r="B187" t="s">
        <v>385</v>
      </c>
      <c r="C187" t="s">
        <v>343</v>
      </c>
      <c r="D187" t="s">
        <v>383</v>
      </c>
      <c r="E187" t="s">
        <v>13</v>
      </c>
      <c r="F187" t="s">
        <v>345</v>
      </c>
      <c r="G187" t="s">
        <v>869</v>
      </c>
      <c r="H187">
        <v>862</v>
      </c>
    </row>
    <row r="188" spans="1:8" x14ac:dyDescent="0.3">
      <c r="A188">
        <v>187</v>
      </c>
      <c r="B188" t="s">
        <v>386</v>
      </c>
      <c r="C188" t="s">
        <v>343</v>
      </c>
      <c r="D188" t="s">
        <v>387</v>
      </c>
      <c r="E188" t="s">
        <v>9</v>
      </c>
      <c r="F188" t="s">
        <v>345</v>
      </c>
      <c r="G188" t="s">
        <v>870</v>
      </c>
      <c r="H188">
        <v>960</v>
      </c>
    </row>
    <row r="189" spans="1:8" x14ac:dyDescent="0.3">
      <c r="A189">
        <v>188</v>
      </c>
      <c r="B189" t="s">
        <v>388</v>
      </c>
      <c r="C189" t="s">
        <v>343</v>
      </c>
      <c r="D189" t="s">
        <v>389</v>
      </c>
      <c r="E189" t="s">
        <v>9</v>
      </c>
      <c r="F189" t="s">
        <v>345</v>
      </c>
      <c r="G189" t="s">
        <v>871</v>
      </c>
      <c r="H189">
        <v>357</v>
      </c>
    </row>
    <row r="190" spans="1:8" x14ac:dyDescent="0.3">
      <c r="A190">
        <v>189</v>
      </c>
      <c r="B190" t="s">
        <v>390</v>
      </c>
      <c r="C190" t="s">
        <v>343</v>
      </c>
      <c r="D190" t="s">
        <v>391</v>
      </c>
      <c r="E190" t="s">
        <v>13</v>
      </c>
      <c r="F190" t="s">
        <v>345</v>
      </c>
      <c r="G190" t="s">
        <v>872</v>
      </c>
      <c r="H190">
        <v>996</v>
      </c>
    </row>
    <row r="191" spans="1:8" x14ac:dyDescent="0.3">
      <c r="A191">
        <v>190</v>
      </c>
      <c r="B191" t="s">
        <v>392</v>
      </c>
      <c r="C191" t="s">
        <v>343</v>
      </c>
      <c r="D191" t="s">
        <v>393</v>
      </c>
      <c r="E191" t="s">
        <v>13</v>
      </c>
      <c r="F191" t="s">
        <v>345</v>
      </c>
      <c r="G191" t="s">
        <v>873</v>
      </c>
      <c r="H191">
        <v>922</v>
      </c>
    </row>
    <row r="192" spans="1:8" x14ac:dyDescent="0.3">
      <c r="A192">
        <v>191</v>
      </c>
      <c r="B192" t="s">
        <v>394</v>
      </c>
      <c r="C192" t="s">
        <v>343</v>
      </c>
      <c r="D192" t="s">
        <v>395</v>
      </c>
      <c r="E192" t="s">
        <v>13</v>
      </c>
      <c r="F192" t="s">
        <v>345</v>
      </c>
      <c r="G192" t="s">
        <v>869</v>
      </c>
      <c r="H192">
        <v>766</v>
      </c>
    </row>
    <row r="193" spans="1:8" x14ac:dyDescent="0.3">
      <c r="A193">
        <v>192</v>
      </c>
      <c r="B193" t="s">
        <v>396</v>
      </c>
      <c r="C193" t="s">
        <v>343</v>
      </c>
      <c r="D193" t="s">
        <v>397</v>
      </c>
      <c r="E193" t="s">
        <v>13</v>
      </c>
      <c r="F193" t="s">
        <v>345</v>
      </c>
      <c r="G193" t="s">
        <v>870</v>
      </c>
      <c r="H193">
        <v>116</v>
      </c>
    </row>
    <row r="194" spans="1:8" x14ac:dyDescent="0.3">
      <c r="A194">
        <v>193</v>
      </c>
      <c r="B194" t="s">
        <v>398</v>
      </c>
      <c r="C194" t="s">
        <v>343</v>
      </c>
      <c r="D194" t="s">
        <v>399</v>
      </c>
      <c r="E194" t="s">
        <v>13</v>
      </c>
      <c r="F194" t="s">
        <v>345</v>
      </c>
      <c r="G194" t="s">
        <v>871</v>
      </c>
      <c r="H194">
        <v>928</v>
      </c>
    </row>
    <row r="195" spans="1:8" x14ac:dyDescent="0.3">
      <c r="A195">
        <v>194</v>
      </c>
      <c r="B195" t="s">
        <v>400</v>
      </c>
      <c r="C195" t="s">
        <v>343</v>
      </c>
      <c r="D195" t="s">
        <v>401</v>
      </c>
      <c r="E195" t="s">
        <v>13</v>
      </c>
      <c r="F195" t="s">
        <v>345</v>
      </c>
      <c r="G195" t="s">
        <v>872</v>
      </c>
      <c r="H195">
        <v>684</v>
      </c>
    </row>
    <row r="196" spans="1:8" x14ac:dyDescent="0.3">
      <c r="A196">
        <v>195</v>
      </c>
      <c r="B196" t="s">
        <v>402</v>
      </c>
      <c r="C196" t="s">
        <v>343</v>
      </c>
      <c r="D196" t="s">
        <v>403</v>
      </c>
      <c r="E196" t="s">
        <v>13</v>
      </c>
      <c r="F196" t="s">
        <v>345</v>
      </c>
      <c r="G196" t="s">
        <v>873</v>
      </c>
      <c r="H196">
        <v>651</v>
      </c>
    </row>
    <row r="197" spans="1:8" x14ac:dyDescent="0.3">
      <c r="A197">
        <v>196</v>
      </c>
      <c r="B197" t="s">
        <v>404</v>
      </c>
      <c r="C197" t="s">
        <v>343</v>
      </c>
      <c r="D197" t="s">
        <v>405</v>
      </c>
      <c r="E197" t="s">
        <v>13</v>
      </c>
      <c r="F197" t="s">
        <v>345</v>
      </c>
      <c r="G197" t="s">
        <v>869</v>
      </c>
      <c r="H197">
        <v>348</v>
      </c>
    </row>
    <row r="198" spans="1:8" x14ac:dyDescent="0.3">
      <c r="A198">
        <v>197</v>
      </c>
      <c r="B198" t="s">
        <v>406</v>
      </c>
      <c r="C198" t="s">
        <v>343</v>
      </c>
      <c r="D198" t="s">
        <v>407</v>
      </c>
      <c r="E198" t="s">
        <v>13</v>
      </c>
      <c r="F198" t="s">
        <v>345</v>
      </c>
      <c r="G198" t="s">
        <v>870</v>
      </c>
      <c r="H198">
        <v>275</v>
      </c>
    </row>
    <row r="199" spans="1:8" x14ac:dyDescent="0.3">
      <c r="A199">
        <v>198</v>
      </c>
      <c r="B199" t="s">
        <v>408</v>
      </c>
      <c r="C199" t="s">
        <v>343</v>
      </c>
      <c r="D199" t="s">
        <v>409</v>
      </c>
      <c r="E199" t="s">
        <v>9</v>
      </c>
      <c r="F199" t="s">
        <v>345</v>
      </c>
      <c r="G199" t="s">
        <v>871</v>
      </c>
      <c r="H199">
        <v>723</v>
      </c>
    </row>
    <row r="200" spans="1:8" x14ac:dyDescent="0.3">
      <c r="A200">
        <v>199</v>
      </c>
      <c r="B200" t="s">
        <v>410</v>
      </c>
      <c r="C200" t="s">
        <v>343</v>
      </c>
      <c r="D200" t="s">
        <v>411</v>
      </c>
      <c r="E200" t="s">
        <v>13</v>
      </c>
      <c r="F200" t="s">
        <v>345</v>
      </c>
      <c r="G200" t="s">
        <v>872</v>
      </c>
      <c r="H200">
        <v>355</v>
      </c>
    </row>
    <row r="201" spans="1:8" x14ac:dyDescent="0.3">
      <c r="A201">
        <v>200</v>
      </c>
      <c r="B201" t="s">
        <v>412</v>
      </c>
      <c r="C201" t="s">
        <v>343</v>
      </c>
      <c r="D201" t="s">
        <v>413</v>
      </c>
      <c r="E201" t="s">
        <v>13</v>
      </c>
      <c r="F201" t="s">
        <v>345</v>
      </c>
      <c r="G201" t="s">
        <v>873</v>
      </c>
      <c r="H201">
        <v>467</v>
      </c>
    </row>
    <row r="202" spans="1:8" x14ac:dyDescent="0.3">
      <c r="A202">
        <v>201</v>
      </c>
      <c r="B202" t="s">
        <v>414</v>
      </c>
      <c r="C202" t="s">
        <v>343</v>
      </c>
      <c r="D202" t="s">
        <v>415</v>
      </c>
      <c r="E202" t="s">
        <v>13</v>
      </c>
      <c r="F202" t="s">
        <v>345</v>
      </c>
      <c r="G202" t="s">
        <v>869</v>
      </c>
      <c r="H202">
        <v>879</v>
      </c>
    </row>
    <row r="203" spans="1:8" x14ac:dyDescent="0.3">
      <c r="A203">
        <v>202</v>
      </c>
      <c r="B203" t="s">
        <v>416</v>
      </c>
      <c r="C203" t="s">
        <v>343</v>
      </c>
      <c r="D203" t="s">
        <v>417</v>
      </c>
      <c r="E203" t="s">
        <v>13</v>
      </c>
      <c r="F203" t="s">
        <v>345</v>
      </c>
      <c r="G203" t="s">
        <v>870</v>
      </c>
      <c r="H203">
        <v>731</v>
      </c>
    </row>
    <row r="204" spans="1:8" x14ac:dyDescent="0.3">
      <c r="A204">
        <v>203</v>
      </c>
      <c r="B204" t="s">
        <v>418</v>
      </c>
      <c r="C204" t="s">
        <v>343</v>
      </c>
      <c r="D204" t="s">
        <v>419</v>
      </c>
      <c r="E204" t="s">
        <v>9</v>
      </c>
      <c r="F204" t="s">
        <v>345</v>
      </c>
      <c r="G204" t="s">
        <v>871</v>
      </c>
      <c r="H204">
        <v>348</v>
      </c>
    </row>
    <row r="205" spans="1:8" x14ac:dyDescent="0.3">
      <c r="A205">
        <v>204</v>
      </c>
      <c r="B205" t="s">
        <v>420</v>
      </c>
      <c r="C205" t="s">
        <v>343</v>
      </c>
      <c r="D205" t="s">
        <v>421</v>
      </c>
      <c r="E205" t="s">
        <v>13</v>
      </c>
      <c r="F205" t="s">
        <v>345</v>
      </c>
      <c r="G205" t="s">
        <v>872</v>
      </c>
      <c r="H205">
        <v>165</v>
      </c>
    </row>
    <row r="206" spans="1:8" x14ac:dyDescent="0.3">
      <c r="A206">
        <v>205</v>
      </c>
      <c r="B206" t="s">
        <v>422</v>
      </c>
      <c r="C206" t="s">
        <v>343</v>
      </c>
      <c r="D206" t="s">
        <v>423</v>
      </c>
      <c r="E206" t="s">
        <v>13</v>
      </c>
      <c r="F206" t="s">
        <v>345</v>
      </c>
      <c r="G206" t="s">
        <v>873</v>
      </c>
      <c r="H206">
        <v>888</v>
      </c>
    </row>
    <row r="207" spans="1:8" x14ac:dyDescent="0.3">
      <c r="A207">
        <v>206</v>
      </c>
      <c r="B207" t="s">
        <v>424</v>
      </c>
      <c r="C207" t="s">
        <v>343</v>
      </c>
      <c r="D207" t="s">
        <v>425</v>
      </c>
      <c r="E207" t="s">
        <v>13</v>
      </c>
      <c r="F207" t="s">
        <v>345</v>
      </c>
      <c r="G207" t="s">
        <v>869</v>
      </c>
      <c r="H207">
        <v>494</v>
      </c>
    </row>
    <row r="208" spans="1:8" x14ac:dyDescent="0.3">
      <c r="A208">
        <v>207</v>
      </c>
      <c r="B208" t="s">
        <v>426</v>
      </c>
      <c r="C208" t="s">
        <v>343</v>
      </c>
      <c r="D208" t="s">
        <v>427</v>
      </c>
      <c r="E208" t="s">
        <v>13</v>
      </c>
      <c r="F208" t="s">
        <v>345</v>
      </c>
      <c r="G208" t="s">
        <v>870</v>
      </c>
      <c r="H208">
        <v>507</v>
      </c>
    </row>
    <row r="209" spans="1:8" x14ac:dyDescent="0.3">
      <c r="A209">
        <v>208</v>
      </c>
      <c r="B209" t="s">
        <v>428</v>
      </c>
      <c r="C209" t="s">
        <v>343</v>
      </c>
      <c r="D209" t="s">
        <v>429</v>
      </c>
      <c r="E209" t="s">
        <v>13</v>
      </c>
      <c r="F209" t="s">
        <v>345</v>
      </c>
      <c r="G209" t="s">
        <v>871</v>
      </c>
      <c r="H209">
        <v>671</v>
      </c>
    </row>
    <row r="210" spans="1:8" x14ac:dyDescent="0.3">
      <c r="A210">
        <v>209</v>
      </c>
      <c r="B210" t="s">
        <v>430</v>
      </c>
      <c r="C210" t="s">
        <v>343</v>
      </c>
      <c r="D210" t="s">
        <v>431</v>
      </c>
      <c r="E210" t="s">
        <v>13</v>
      </c>
      <c r="F210" t="s">
        <v>345</v>
      </c>
      <c r="G210" t="s">
        <v>872</v>
      </c>
      <c r="H210">
        <v>501</v>
      </c>
    </row>
    <row r="211" spans="1:8" x14ac:dyDescent="0.3">
      <c r="A211">
        <v>210</v>
      </c>
      <c r="B211" t="s">
        <v>432</v>
      </c>
      <c r="C211" t="s">
        <v>343</v>
      </c>
      <c r="D211" t="s">
        <v>409</v>
      </c>
      <c r="E211" t="s">
        <v>13</v>
      </c>
      <c r="F211" t="s">
        <v>345</v>
      </c>
      <c r="G211" t="s">
        <v>873</v>
      </c>
      <c r="H211">
        <v>183</v>
      </c>
    </row>
    <row r="212" spans="1:8" x14ac:dyDescent="0.3">
      <c r="A212">
        <v>211</v>
      </c>
      <c r="B212" t="s">
        <v>433</v>
      </c>
      <c r="C212" t="s">
        <v>343</v>
      </c>
      <c r="D212" t="s">
        <v>434</v>
      </c>
      <c r="E212" t="s">
        <v>13</v>
      </c>
      <c r="F212" t="s">
        <v>345</v>
      </c>
      <c r="G212" t="s">
        <v>869</v>
      </c>
      <c r="H212">
        <v>845</v>
      </c>
    </row>
    <row r="213" spans="1:8" x14ac:dyDescent="0.3">
      <c r="A213">
        <v>212</v>
      </c>
      <c r="B213" t="s">
        <v>435</v>
      </c>
      <c r="C213" t="s">
        <v>343</v>
      </c>
      <c r="D213" t="s">
        <v>436</v>
      </c>
      <c r="E213" t="s">
        <v>13</v>
      </c>
      <c r="F213" t="s">
        <v>345</v>
      </c>
      <c r="G213" t="s">
        <v>870</v>
      </c>
      <c r="H213">
        <v>241</v>
      </c>
    </row>
    <row r="214" spans="1:8" x14ac:dyDescent="0.3">
      <c r="A214">
        <v>213</v>
      </c>
      <c r="B214" t="s">
        <v>437</v>
      </c>
      <c r="C214" t="s">
        <v>343</v>
      </c>
      <c r="D214" t="s">
        <v>438</v>
      </c>
      <c r="E214" t="s">
        <v>13</v>
      </c>
      <c r="F214" t="s">
        <v>345</v>
      </c>
      <c r="G214" t="s">
        <v>871</v>
      </c>
      <c r="H214">
        <v>991</v>
      </c>
    </row>
    <row r="215" spans="1:8" x14ac:dyDescent="0.3">
      <c r="A215">
        <v>214</v>
      </c>
      <c r="B215" t="s">
        <v>439</v>
      </c>
      <c r="C215" t="s">
        <v>343</v>
      </c>
      <c r="D215" t="s">
        <v>440</v>
      </c>
      <c r="E215" t="s">
        <v>13</v>
      </c>
      <c r="F215" t="s">
        <v>345</v>
      </c>
      <c r="G215" t="s">
        <v>872</v>
      </c>
      <c r="H215">
        <v>990</v>
      </c>
    </row>
    <row r="216" spans="1:8" x14ac:dyDescent="0.3">
      <c r="A216">
        <v>215</v>
      </c>
      <c r="B216" t="s">
        <v>441</v>
      </c>
      <c r="C216" t="s">
        <v>343</v>
      </c>
      <c r="D216" t="s">
        <v>442</v>
      </c>
      <c r="E216" t="s">
        <v>13</v>
      </c>
      <c r="F216" t="s">
        <v>345</v>
      </c>
      <c r="G216" t="s">
        <v>873</v>
      </c>
      <c r="H216">
        <v>691</v>
      </c>
    </row>
    <row r="217" spans="1:8" x14ac:dyDescent="0.3">
      <c r="A217">
        <v>216</v>
      </c>
      <c r="B217" t="s">
        <v>443</v>
      </c>
      <c r="C217" t="s">
        <v>343</v>
      </c>
      <c r="D217" t="s">
        <v>444</v>
      </c>
      <c r="E217" t="s">
        <v>13</v>
      </c>
      <c r="F217" t="s">
        <v>345</v>
      </c>
      <c r="G217" t="s">
        <v>869</v>
      </c>
      <c r="H217">
        <v>751</v>
      </c>
    </row>
    <row r="218" spans="1:8" x14ac:dyDescent="0.3">
      <c r="A218">
        <v>217</v>
      </c>
      <c r="B218" t="s">
        <v>445</v>
      </c>
      <c r="C218" t="s">
        <v>343</v>
      </c>
      <c r="D218" t="s">
        <v>446</v>
      </c>
      <c r="E218" t="s">
        <v>13</v>
      </c>
      <c r="F218" t="s">
        <v>345</v>
      </c>
      <c r="G218" t="s">
        <v>870</v>
      </c>
      <c r="H218">
        <v>253</v>
      </c>
    </row>
    <row r="219" spans="1:8" x14ac:dyDescent="0.3">
      <c r="A219">
        <v>218</v>
      </c>
      <c r="B219" t="s">
        <v>447</v>
      </c>
      <c r="C219" t="s">
        <v>343</v>
      </c>
      <c r="D219" t="s">
        <v>448</v>
      </c>
      <c r="E219" t="s">
        <v>9</v>
      </c>
      <c r="F219" t="s">
        <v>345</v>
      </c>
      <c r="G219" t="s">
        <v>871</v>
      </c>
      <c r="H219">
        <v>344</v>
      </c>
    </row>
    <row r="220" spans="1:8" x14ac:dyDescent="0.3">
      <c r="A220">
        <v>219</v>
      </c>
      <c r="B220" t="s">
        <v>449</v>
      </c>
      <c r="C220" t="s">
        <v>343</v>
      </c>
      <c r="D220" t="s">
        <v>450</v>
      </c>
      <c r="E220" t="s">
        <v>13</v>
      </c>
      <c r="F220" t="s">
        <v>345</v>
      </c>
      <c r="G220" t="s">
        <v>872</v>
      </c>
      <c r="H220">
        <v>355</v>
      </c>
    </row>
    <row r="221" spans="1:8" x14ac:dyDescent="0.3">
      <c r="A221">
        <v>220</v>
      </c>
      <c r="B221" t="s">
        <v>451</v>
      </c>
      <c r="C221" t="s">
        <v>343</v>
      </c>
      <c r="D221" t="s">
        <v>452</v>
      </c>
      <c r="E221" t="s">
        <v>13</v>
      </c>
      <c r="F221" t="s">
        <v>345</v>
      </c>
      <c r="G221" t="s">
        <v>873</v>
      </c>
      <c r="H221">
        <v>821</v>
      </c>
    </row>
    <row r="222" spans="1:8" x14ac:dyDescent="0.3">
      <c r="A222">
        <v>221</v>
      </c>
      <c r="B222" t="s">
        <v>453</v>
      </c>
      <c r="C222" t="s">
        <v>343</v>
      </c>
      <c r="D222" t="s">
        <v>454</v>
      </c>
      <c r="E222" t="s">
        <v>13</v>
      </c>
      <c r="F222" t="s">
        <v>345</v>
      </c>
      <c r="G222" t="s">
        <v>869</v>
      </c>
      <c r="H222">
        <v>206</v>
      </c>
    </row>
    <row r="223" spans="1:8" x14ac:dyDescent="0.3">
      <c r="A223">
        <v>222</v>
      </c>
      <c r="B223" t="s">
        <v>455</v>
      </c>
      <c r="C223" t="s">
        <v>343</v>
      </c>
      <c r="D223" t="s">
        <v>456</v>
      </c>
      <c r="E223" t="s">
        <v>13</v>
      </c>
      <c r="F223" t="s">
        <v>345</v>
      </c>
      <c r="G223" t="s">
        <v>870</v>
      </c>
      <c r="H223">
        <v>274</v>
      </c>
    </row>
    <row r="224" spans="1:8" x14ac:dyDescent="0.3">
      <c r="A224">
        <v>223</v>
      </c>
      <c r="B224" t="s">
        <v>457</v>
      </c>
      <c r="C224" t="s">
        <v>343</v>
      </c>
      <c r="D224" t="s">
        <v>458</v>
      </c>
      <c r="E224" t="s">
        <v>13</v>
      </c>
      <c r="F224" t="s">
        <v>345</v>
      </c>
      <c r="G224" t="s">
        <v>871</v>
      </c>
      <c r="H224">
        <v>112</v>
      </c>
    </row>
    <row r="225" spans="1:8" x14ac:dyDescent="0.3">
      <c r="A225">
        <v>224</v>
      </c>
      <c r="B225" t="s">
        <v>459</v>
      </c>
      <c r="C225" t="s">
        <v>343</v>
      </c>
      <c r="D225" t="s">
        <v>460</v>
      </c>
      <c r="E225" t="s">
        <v>13</v>
      </c>
      <c r="F225" t="s">
        <v>345</v>
      </c>
      <c r="G225" t="s">
        <v>872</v>
      </c>
      <c r="H225">
        <v>523</v>
      </c>
    </row>
    <row r="226" spans="1:8" x14ac:dyDescent="0.3">
      <c r="A226">
        <v>225</v>
      </c>
      <c r="B226" t="s">
        <v>461</v>
      </c>
      <c r="C226" t="s">
        <v>343</v>
      </c>
      <c r="D226" t="s">
        <v>431</v>
      </c>
      <c r="E226" t="s">
        <v>9</v>
      </c>
      <c r="F226" t="s">
        <v>345</v>
      </c>
      <c r="G226" t="s">
        <v>873</v>
      </c>
      <c r="H226">
        <v>690</v>
      </c>
    </row>
    <row r="227" spans="1:8" x14ac:dyDescent="0.3">
      <c r="A227">
        <v>226</v>
      </c>
      <c r="B227" t="s">
        <v>462</v>
      </c>
      <c r="C227" t="s">
        <v>343</v>
      </c>
      <c r="D227" t="s">
        <v>463</v>
      </c>
      <c r="E227" t="s">
        <v>9</v>
      </c>
      <c r="F227" t="s">
        <v>345</v>
      </c>
      <c r="G227" t="s">
        <v>869</v>
      </c>
      <c r="H227">
        <v>433</v>
      </c>
    </row>
    <row r="228" spans="1:8" x14ac:dyDescent="0.3">
      <c r="A228">
        <v>227</v>
      </c>
      <c r="B228" t="s">
        <v>464</v>
      </c>
      <c r="C228" t="s">
        <v>343</v>
      </c>
      <c r="D228" t="s">
        <v>465</v>
      </c>
      <c r="E228" t="s">
        <v>13</v>
      </c>
      <c r="F228" t="s">
        <v>345</v>
      </c>
      <c r="G228" t="s">
        <v>870</v>
      </c>
      <c r="H228">
        <v>935</v>
      </c>
    </row>
    <row r="229" spans="1:8" x14ac:dyDescent="0.3">
      <c r="A229">
        <v>228</v>
      </c>
      <c r="B229" t="s">
        <v>466</v>
      </c>
      <c r="C229" t="s">
        <v>343</v>
      </c>
      <c r="D229" t="s">
        <v>467</v>
      </c>
      <c r="E229" t="s">
        <v>13</v>
      </c>
      <c r="F229" t="s">
        <v>345</v>
      </c>
      <c r="G229" t="s">
        <v>871</v>
      </c>
      <c r="H229">
        <v>951</v>
      </c>
    </row>
    <row r="230" spans="1:8" x14ac:dyDescent="0.3">
      <c r="A230">
        <v>229</v>
      </c>
      <c r="B230" t="s">
        <v>468</v>
      </c>
      <c r="C230" t="s">
        <v>343</v>
      </c>
      <c r="D230" t="s">
        <v>469</v>
      </c>
      <c r="E230" t="s">
        <v>13</v>
      </c>
      <c r="F230" t="s">
        <v>345</v>
      </c>
      <c r="G230" t="s">
        <v>872</v>
      </c>
      <c r="H230">
        <v>482</v>
      </c>
    </row>
    <row r="231" spans="1:8" x14ac:dyDescent="0.3">
      <c r="A231">
        <v>230</v>
      </c>
      <c r="B231" t="s">
        <v>470</v>
      </c>
      <c r="C231" t="s">
        <v>343</v>
      </c>
      <c r="D231" t="s">
        <v>471</v>
      </c>
      <c r="E231" t="s">
        <v>13</v>
      </c>
      <c r="F231" t="s">
        <v>345</v>
      </c>
      <c r="G231" t="s">
        <v>873</v>
      </c>
      <c r="H231">
        <v>876</v>
      </c>
    </row>
    <row r="232" spans="1:8" x14ac:dyDescent="0.3">
      <c r="A232">
        <v>231</v>
      </c>
      <c r="B232" t="s">
        <v>472</v>
      </c>
      <c r="C232" t="s">
        <v>343</v>
      </c>
      <c r="D232" t="s">
        <v>473</v>
      </c>
      <c r="E232" t="s">
        <v>13</v>
      </c>
      <c r="F232" t="s">
        <v>345</v>
      </c>
      <c r="G232" t="s">
        <v>869</v>
      </c>
      <c r="H232">
        <v>571</v>
      </c>
    </row>
    <row r="233" spans="1:8" x14ac:dyDescent="0.3">
      <c r="A233">
        <v>232</v>
      </c>
      <c r="B233" t="s">
        <v>474</v>
      </c>
      <c r="C233" t="s">
        <v>343</v>
      </c>
      <c r="D233" t="s">
        <v>475</v>
      </c>
      <c r="E233" t="s">
        <v>13</v>
      </c>
      <c r="F233" t="s">
        <v>345</v>
      </c>
      <c r="G233" t="s">
        <v>870</v>
      </c>
      <c r="H233">
        <v>667</v>
      </c>
    </row>
    <row r="234" spans="1:8" x14ac:dyDescent="0.3">
      <c r="A234">
        <v>233</v>
      </c>
      <c r="B234" t="s">
        <v>476</v>
      </c>
      <c r="C234" t="s">
        <v>343</v>
      </c>
      <c r="D234" t="s">
        <v>477</v>
      </c>
      <c r="E234" t="s">
        <v>9</v>
      </c>
      <c r="F234" t="s">
        <v>345</v>
      </c>
      <c r="G234" t="s">
        <v>871</v>
      </c>
      <c r="H234">
        <v>479</v>
      </c>
    </row>
    <row r="235" spans="1:8" x14ac:dyDescent="0.3">
      <c r="A235">
        <v>234</v>
      </c>
      <c r="B235" t="s">
        <v>478</v>
      </c>
      <c r="C235" t="s">
        <v>479</v>
      </c>
      <c r="D235" t="s">
        <v>480</v>
      </c>
      <c r="E235" t="s">
        <v>23</v>
      </c>
      <c r="F235" t="s">
        <v>345</v>
      </c>
      <c r="G235" t="s">
        <v>872</v>
      </c>
      <c r="H235">
        <v>189</v>
      </c>
    </row>
    <row r="236" spans="1:8" x14ac:dyDescent="0.3">
      <c r="A236">
        <v>235</v>
      </c>
      <c r="B236" t="s">
        <v>481</v>
      </c>
      <c r="C236" t="s">
        <v>479</v>
      </c>
      <c r="D236" t="s">
        <v>482</v>
      </c>
      <c r="E236" t="s">
        <v>23</v>
      </c>
      <c r="F236" t="s">
        <v>345</v>
      </c>
      <c r="G236" t="s">
        <v>873</v>
      </c>
      <c r="H236">
        <v>372</v>
      </c>
    </row>
    <row r="237" spans="1:8" x14ac:dyDescent="0.3">
      <c r="A237">
        <v>236</v>
      </c>
      <c r="B237" t="s">
        <v>483</v>
      </c>
      <c r="C237" t="s">
        <v>479</v>
      </c>
      <c r="D237" t="s">
        <v>484</v>
      </c>
      <c r="E237" t="s">
        <v>23</v>
      </c>
      <c r="F237" t="s">
        <v>345</v>
      </c>
      <c r="G237" t="s">
        <v>869</v>
      </c>
      <c r="H237">
        <v>365</v>
      </c>
    </row>
    <row r="238" spans="1:8" x14ac:dyDescent="0.3">
      <c r="A238">
        <v>237</v>
      </c>
      <c r="B238" t="s">
        <v>485</v>
      </c>
      <c r="C238" t="s">
        <v>479</v>
      </c>
      <c r="D238" t="s">
        <v>486</v>
      </c>
      <c r="E238" t="s">
        <v>23</v>
      </c>
      <c r="F238" t="s">
        <v>345</v>
      </c>
      <c r="G238" t="s">
        <v>870</v>
      </c>
      <c r="H238">
        <v>811</v>
      </c>
    </row>
    <row r="239" spans="1:8" x14ac:dyDescent="0.3">
      <c r="A239">
        <v>238</v>
      </c>
      <c r="B239" t="s">
        <v>487</v>
      </c>
      <c r="C239" t="s">
        <v>479</v>
      </c>
      <c r="D239" t="s">
        <v>488</v>
      </c>
      <c r="E239" t="s">
        <v>23</v>
      </c>
      <c r="F239" t="s">
        <v>345</v>
      </c>
      <c r="G239" t="s">
        <v>871</v>
      </c>
      <c r="H239">
        <v>219</v>
      </c>
    </row>
    <row r="240" spans="1:8" x14ac:dyDescent="0.3">
      <c r="A240">
        <v>239</v>
      </c>
      <c r="B240" t="s">
        <v>489</v>
      </c>
      <c r="C240" t="s">
        <v>479</v>
      </c>
      <c r="D240" t="s">
        <v>490</v>
      </c>
      <c r="E240" t="s">
        <v>23</v>
      </c>
      <c r="F240" t="s">
        <v>345</v>
      </c>
      <c r="G240" t="s">
        <v>872</v>
      </c>
      <c r="H240">
        <v>122</v>
      </c>
    </row>
    <row r="241" spans="1:8" x14ac:dyDescent="0.3">
      <c r="A241">
        <v>240</v>
      </c>
      <c r="B241" t="s">
        <v>491</v>
      </c>
      <c r="C241" t="s">
        <v>479</v>
      </c>
      <c r="D241" t="s">
        <v>492</v>
      </c>
      <c r="E241" t="s">
        <v>23</v>
      </c>
      <c r="F241" t="s">
        <v>345</v>
      </c>
      <c r="G241" t="s">
        <v>873</v>
      </c>
      <c r="H241">
        <v>455</v>
      </c>
    </row>
    <row r="242" spans="1:8" x14ac:dyDescent="0.3">
      <c r="A242">
        <v>241</v>
      </c>
      <c r="B242" t="s">
        <v>493</v>
      </c>
      <c r="C242" t="s">
        <v>494</v>
      </c>
      <c r="D242" t="s">
        <v>495</v>
      </c>
      <c r="E242" t="s">
        <v>23</v>
      </c>
      <c r="F242" t="s">
        <v>345</v>
      </c>
      <c r="G242" t="s">
        <v>869</v>
      </c>
      <c r="H242">
        <v>600</v>
      </c>
    </row>
    <row r="243" spans="1:8" x14ac:dyDescent="0.3">
      <c r="A243">
        <v>242</v>
      </c>
      <c r="B243" t="s">
        <v>496</v>
      </c>
      <c r="C243" t="s">
        <v>479</v>
      </c>
      <c r="D243" t="s">
        <v>495</v>
      </c>
      <c r="E243" t="s">
        <v>23</v>
      </c>
      <c r="F243" t="s">
        <v>345</v>
      </c>
      <c r="G243" t="s">
        <v>870</v>
      </c>
      <c r="H243">
        <v>709</v>
      </c>
    </row>
    <row r="244" spans="1:8" x14ac:dyDescent="0.3">
      <c r="A244">
        <v>243</v>
      </c>
      <c r="B244" t="s">
        <v>497</v>
      </c>
      <c r="C244" t="s">
        <v>479</v>
      </c>
      <c r="D244" t="s">
        <v>498</v>
      </c>
      <c r="E244" t="s">
        <v>23</v>
      </c>
      <c r="F244" t="s">
        <v>345</v>
      </c>
      <c r="G244" t="s">
        <v>871</v>
      </c>
      <c r="H244">
        <v>486</v>
      </c>
    </row>
    <row r="245" spans="1:8" x14ac:dyDescent="0.3">
      <c r="A245">
        <v>244</v>
      </c>
      <c r="B245" t="s">
        <v>499</v>
      </c>
      <c r="C245" t="s">
        <v>479</v>
      </c>
      <c r="D245" t="s">
        <v>500</v>
      </c>
      <c r="E245" t="s">
        <v>23</v>
      </c>
      <c r="F245" t="s">
        <v>345</v>
      </c>
      <c r="G245" t="s">
        <v>872</v>
      </c>
      <c r="H245">
        <v>332</v>
      </c>
    </row>
    <row r="246" spans="1:8" x14ac:dyDescent="0.3">
      <c r="A246">
        <v>245</v>
      </c>
      <c r="B246" t="s">
        <v>501</v>
      </c>
      <c r="C246" t="s">
        <v>479</v>
      </c>
      <c r="D246" t="s">
        <v>502</v>
      </c>
      <c r="E246" t="s">
        <v>874</v>
      </c>
      <c r="F246" t="s">
        <v>345</v>
      </c>
      <c r="G246" t="s">
        <v>873</v>
      </c>
      <c r="H246">
        <v>543</v>
      </c>
    </row>
    <row r="247" spans="1:8" x14ac:dyDescent="0.3">
      <c r="A247">
        <v>246</v>
      </c>
      <c r="B247" t="s">
        <v>503</v>
      </c>
      <c r="C247" t="s">
        <v>479</v>
      </c>
      <c r="D247" t="s">
        <v>504</v>
      </c>
      <c r="E247" t="s">
        <v>23</v>
      </c>
      <c r="F247" t="s">
        <v>345</v>
      </c>
      <c r="G247" t="s">
        <v>869</v>
      </c>
      <c r="H247">
        <v>555</v>
      </c>
    </row>
    <row r="248" spans="1:8" x14ac:dyDescent="0.3">
      <c r="A248">
        <v>247</v>
      </c>
      <c r="B248" t="s">
        <v>505</v>
      </c>
      <c r="C248" t="s">
        <v>479</v>
      </c>
      <c r="D248" t="s">
        <v>506</v>
      </c>
      <c r="E248" t="s">
        <v>23</v>
      </c>
      <c r="F248" t="s">
        <v>345</v>
      </c>
      <c r="G248" t="s">
        <v>870</v>
      </c>
      <c r="H248">
        <v>173</v>
      </c>
    </row>
    <row r="249" spans="1:8" x14ac:dyDescent="0.3">
      <c r="A249">
        <v>248</v>
      </c>
      <c r="B249" t="s">
        <v>507</v>
      </c>
      <c r="C249" t="s">
        <v>479</v>
      </c>
      <c r="D249" t="s">
        <v>508</v>
      </c>
      <c r="E249" t="s">
        <v>23</v>
      </c>
      <c r="F249" t="s">
        <v>345</v>
      </c>
      <c r="G249" t="s">
        <v>871</v>
      </c>
      <c r="H249">
        <v>233</v>
      </c>
    </row>
    <row r="250" spans="1:8" x14ac:dyDescent="0.3">
      <c r="A250">
        <v>249</v>
      </c>
      <c r="B250" t="s">
        <v>509</v>
      </c>
      <c r="C250" t="s">
        <v>479</v>
      </c>
      <c r="D250" t="s">
        <v>510</v>
      </c>
      <c r="E250" t="s">
        <v>23</v>
      </c>
      <c r="F250" t="s">
        <v>345</v>
      </c>
      <c r="G250" t="s">
        <v>872</v>
      </c>
      <c r="H250">
        <v>653</v>
      </c>
    </row>
    <row r="251" spans="1:8" x14ac:dyDescent="0.3">
      <c r="A251">
        <v>250</v>
      </c>
      <c r="B251" t="s">
        <v>511</v>
      </c>
      <c r="C251" t="s">
        <v>479</v>
      </c>
      <c r="D251" t="s">
        <v>512</v>
      </c>
      <c r="E251" t="s">
        <v>23</v>
      </c>
      <c r="F251" t="s">
        <v>345</v>
      </c>
      <c r="G251" t="s">
        <v>873</v>
      </c>
      <c r="H251">
        <v>591</v>
      </c>
    </row>
    <row r="252" spans="1:8" x14ac:dyDescent="0.3">
      <c r="A252">
        <v>251</v>
      </c>
      <c r="B252" t="s">
        <v>513</v>
      </c>
      <c r="C252" t="s">
        <v>479</v>
      </c>
      <c r="D252" t="s">
        <v>514</v>
      </c>
      <c r="E252" t="s">
        <v>23</v>
      </c>
      <c r="F252" t="s">
        <v>345</v>
      </c>
      <c r="G252" t="s">
        <v>869</v>
      </c>
      <c r="H252">
        <v>175</v>
      </c>
    </row>
    <row r="253" spans="1:8" x14ac:dyDescent="0.3">
      <c r="A253">
        <v>252</v>
      </c>
      <c r="B253" t="s">
        <v>515</v>
      </c>
      <c r="C253" t="s">
        <v>479</v>
      </c>
      <c r="D253" t="s">
        <v>516</v>
      </c>
      <c r="E253" t="s">
        <v>23</v>
      </c>
      <c r="F253" t="s">
        <v>345</v>
      </c>
      <c r="G253" t="s">
        <v>870</v>
      </c>
      <c r="H253">
        <v>174</v>
      </c>
    </row>
    <row r="254" spans="1:8" x14ac:dyDescent="0.3">
      <c r="A254">
        <v>253</v>
      </c>
      <c r="B254" t="s">
        <v>517</v>
      </c>
      <c r="C254" t="s">
        <v>479</v>
      </c>
      <c r="D254" t="s">
        <v>518</v>
      </c>
      <c r="E254" t="s">
        <v>23</v>
      </c>
      <c r="F254" t="s">
        <v>345</v>
      </c>
      <c r="G254" t="s">
        <v>871</v>
      </c>
      <c r="H254">
        <v>400</v>
      </c>
    </row>
    <row r="255" spans="1:8" x14ac:dyDescent="0.3">
      <c r="A255">
        <v>254</v>
      </c>
      <c r="B255" t="s">
        <v>519</v>
      </c>
      <c r="C255" t="s">
        <v>479</v>
      </c>
      <c r="D255" t="s">
        <v>520</v>
      </c>
      <c r="E255" t="s">
        <v>23</v>
      </c>
      <c r="F255" t="s">
        <v>345</v>
      </c>
      <c r="G255" t="s">
        <v>872</v>
      </c>
      <c r="H255">
        <v>434</v>
      </c>
    </row>
    <row r="256" spans="1:8" x14ac:dyDescent="0.3">
      <c r="A256">
        <v>255</v>
      </c>
      <c r="B256" t="s">
        <v>521</v>
      </c>
      <c r="C256" t="s">
        <v>479</v>
      </c>
      <c r="D256" t="s">
        <v>522</v>
      </c>
      <c r="E256" t="s">
        <v>23</v>
      </c>
      <c r="F256" t="s">
        <v>345</v>
      </c>
      <c r="G256" t="s">
        <v>873</v>
      </c>
      <c r="H256">
        <v>649</v>
      </c>
    </row>
    <row r="257" spans="1:8" x14ac:dyDescent="0.3">
      <c r="A257">
        <v>256</v>
      </c>
      <c r="B257" t="s">
        <v>523</v>
      </c>
      <c r="C257" t="s">
        <v>479</v>
      </c>
      <c r="D257" t="s">
        <v>524</v>
      </c>
      <c r="E257" t="s">
        <v>23</v>
      </c>
      <c r="F257" t="s">
        <v>345</v>
      </c>
      <c r="G257" t="s">
        <v>869</v>
      </c>
      <c r="H257">
        <v>574</v>
      </c>
    </row>
    <row r="258" spans="1:8" x14ac:dyDescent="0.3">
      <c r="A258">
        <v>257</v>
      </c>
      <c r="B258" t="s">
        <v>525</v>
      </c>
      <c r="C258" t="s">
        <v>479</v>
      </c>
      <c r="D258" t="s">
        <v>526</v>
      </c>
      <c r="E258" t="s">
        <v>23</v>
      </c>
      <c r="F258" t="s">
        <v>345</v>
      </c>
      <c r="G258" t="s">
        <v>870</v>
      </c>
      <c r="H258">
        <v>401</v>
      </c>
    </row>
    <row r="259" spans="1:8" x14ac:dyDescent="0.3">
      <c r="A259">
        <v>258</v>
      </c>
      <c r="B259" t="s">
        <v>527</v>
      </c>
      <c r="C259" t="s">
        <v>479</v>
      </c>
      <c r="D259" t="s">
        <v>528</v>
      </c>
      <c r="E259" t="s">
        <v>23</v>
      </c>
      <c r="F259" t="s">
        <v>345</v>
      </c>
      <c r="G259" t="s">
        <v>871</v>
      </c>
      <c r="H259">
        <v>313</v>
      </c>
    </row>
    <row r="260" spans="1:8" x14ac:dyDescent="0.3">
      <c r="A260">
        <v>259</v>
      </c>
      <c r="B260" t="s">
        <v>529</v>
      </c>
      <c r="C260" t="s">
        <v>479</v>
      </c>
      <c r="D260" t="s">
        <v>530</v>
      </c>
      <c r="E260" t="s">
        <v>23</v>
      </c>
      <c r="F260" t="s">
        <v>345</v>
      </c>
      <c r="G260" t="s">
        <v>872</v>
      </c>
      <c r="H260">
        <v>725</v>
      </c>
    </row>
    <row r="261" spans="1:8" x14ac:dyDescent="0.3">
      <c r="A261">
        <v>260</v>
      </c>
      <c r="B261" t="s">
        <v>531</v>
      </c>
      <c r="C261" t="s">
        <v>479</v>
      </c>
      <c r="D261" t="s">
        <v>532</v>
      </c>
      <c r="E261" t="s">
        <v>23</v>
      </c>
      <c r="F261" t="s">
        <v>345</v>
      </c>
      <c r="G261" t="s">
        <v>873</v>
      </c>
      <c r="H261">
        <v>640</v>
      </c>
    </row>
    <row r="262" spans="1:8" x14ac:dyDescent="0.3">
      <c r="A262">
        <v>261</v>
      </c>
      <c r="B262" t="s">
        <v>533</v>
      </c>
      <c r="C262" t="s">
        <v>479</v>
      </c>
      <c r="D262" t="s">
        <v>534</v>
      </c>
      <c r="E262" t="s">
        <v>23</v>
      </c>
      <c r="F262" t="s">
        <v>345</v>
      </c>
      <c r="G262" t="s">
        <v>869</v>
      </c>
      <c r="H262">
        <v>207</v>
      </c>
    </row>
    <row r="263" spans="1:8" x14ac:dyDescent="0.3">
      <c r="A263">
        <v>262</v>
      </c>
      <c r="B263" t="s">
        <v>535</v>
      </c>
      <c r="C263" t="s">
        <v>536</v>
      </c>
      <c r="D263" t="s">
        <v>537</v>
      </c>
      <c r="E263" t="s">
        <v>23</v>
      </c>
      <c r="F263" t="s">
        <v>345</v>
      </c>
      <c r="G263" t="s">
        <v>870</v>
      </c>
      <c r="H263">
        <v>550</v>
      </c>
    </row>
    <row r="264" spans="1:8" x14ac:dyDescent="0.3">
      <c r="A264">
        <v>263</v>
      </c>
      <c r="B264" t="s">
        <v>538</v>
      </c>
      <c r="C264" t="s">
        <v>536</v>
      </c>
      <c r="D264" t="s">
        <v>539</v>
      </c>
      <c r="E264" t="s">
        <v>9</v>
      </c>
      <c r="F264" t="s">
        <v>345</v>
      </c>
      <c r="G264" t="s">
        <v>871</v>
      </c>
      <c r="H264">
        <v>272</v>
      </c>
    </row>
    <row r="265" spans="1:8" x14ac:dyDescent="0.3">
      <c r="A265">
        <v>264</v>
      </c>
      <c r="B265" t="s">
        <v>540</v>
      </c>
      <c r="C265" t="s">
        <v>536</v>
      </c>
      <c r="D265" t="s">
        <v>541</v>
      </c>
      <c r="E265" t="s">
        <v>9</v>
      </c>
      <c r="F265" t="s">
        <v>345</v>
      </c>
      <c r="G265" t="s">
        <v>872</v>
      </c>
      <c r="H265">
        <v>220</v>
      </c>
    </row>
    <row r="266" spans="1:8" x14ac:dyDescent="0.3">
      <c r="A266">
        <v>265</v>
      </c>
      <c r="B266" t="s">
        <v>542</v>
      </c>
      <c r="C266" t="s">
        <v>536</v>
      </c>
      <c r="D266" t="s">
        <v>543</v>
      </c>
      <c r="E266" t="s">
        <v>23</v>
      </c>
      <c r="F266" t="s">
        <v>345</v>
      </c>
      <c r="G266" t="s">
        <v>873</v>
      </c>
      <c r="H266">
        <v>645</v>
      </c>
    </row>
    <row r="267" spans="1:8" x14ac:dyDescent="0.3">
      <c r="A267">
        <v>266</v>
      </c>
      <c r="B267" t="s">
        <v>544</v>
      </c>
      <c r="C267" t="s">
        <v>536</v>
      </c>
      <c r="D267" t="s">
        <v>545</v>
      </c>
      <c r="E267" t="s">
        <v>9</v>
      </c>
      <c r="F267" t="s">
        <v>345</v>
      </c>
      <c r="G267" t="s">
        <v>869</v>
      </c>
      <c r="H267">
        <v>927</v>
      </c>
    </row>
    <row r="268" spans="1:8" x14ac:dyDescent="0.3">
      <c r="A268">
        <v>267</v>
      </c>
      <c r="B268" t="s">
        <v>546</v>
      </c>
      <c r="C268" t="s">
        <v>536</v>
      </c>
      <c r="D268" t="s">
        <v>547</v>
      </c>
      <c r="E268" t="s">
        <v>23</v>
      </c>
      <c r="F268" t="s">
        <v>345</v>
      </c>
      <c r="G268" t="s">
        <v>870</v>
      </c>
      <c r="H268">
        <v>780</v>
      </c>
    </row>
    <row r="269" spans="1:8" x14ac:dyDescent="0.3">
      <c r="A269">
        <v>268</v>
      </c>
      <c r="B269" t="s">
        <v>548</v>
      </c>
      <c r="C269" t="s">
        <v>536</v>
      </c>
      <c r="D269" t="s">
        <v>351</v>
      </c>
      <c r="E269" t="s">
        <v>9</v>
      </c>
      <c r="F269" t="s">
        <v>345</v>
      </c>
      <c r="G269" t="s">
        <v>871</v>
      </c>
      <c r="H269">
        <v>300</v>
      </c>
    </row>
    <row r="270" spans="1:8" x14ac:dyDescent="0.3">
      <c r="A270">
        <v>269</v>
      </c>
      <c r="B270" t="s">
        <v>549</v>
      </c>
      <c r="C270" t="s">
        <v>536</v>
      </c>
      <c r="D270" t="s">
        <v>550</v>
      </c>
      <c r="E270" t="s">
        <v>23</v>
      </c>
      <c r="F270" t="s">
        <v>345</v>
      </c>
      <c r="G270" t="s">
        <v>872</v>
      </c>
      <c r="H270">
        <v>436</v>
      </c>
    </row>
    <row r="271" spans="1:8" x14ac:dyDescent="0.3">
      <c r="A271">
        <v>270</v>
      </c>
      <c r="B271" t="s">
        <v>551</v>
      </c>
      <c r="C271" t="s">
        <v>536</v>
      </c>
      <c r="D271" t="s">
        <v>482</v>
      </c>
      <c r="E271" t="s">
        <v>23</v>
      </c>
      <c r="F271" t="s">
        <v>345</v>
      </c>
      <c r="G271" t="s">
        <v>873</v>
      </c>
      <c r="H271">
        <v>209</v>
      </c>
    </row>
    <row r="272" spans="1:8" x14ac:dyDescent="0.3">
      <c r="A272">
        <v>271</v>
      </c>
      <c r="B272" t="s">
        <v>552</v>
      </c>
      <c r="C272" t="s">
        <v>536</v>
      </c>
      <c r="D272" t="s">
        <v>486</v>
      </c>
      <c r="E272" t="s">
        <v>23</v>
      </c>
      <c r="F272" t="s">
        <v>345</v>
      </c>
      <c r="G272" t="s">
        <v>869</v>
      </c>
      <c r="H272">
        <v>178</v>
      </c>
    </row>
    <row r="273" spans="1:8" x14ac:dyDescent="0.3">
      <c r="A273">
        <v>272</v>
      </c>
      <c r="B273" t="s">
        <v>553</v>
      </c>
      <c r="C273" t="s">
        <v>536</v>
      </c>
      <c r="D273" t="s">
        <v>554</v>
      </c>
      <c r="E273" t="s">
        <v>23</v>
      </c>
      <c r="F273" t="s">
        <v>345</v>
      </c>
      <c r="G273" t="s">
        <v>870</v>
      </c>
      <c r="H273">
        <v>367</v>
      </c>
    </row>
    <row r="274" spans="1:8" x14ac:dyDescent="0.3">
      <c r="A274">
        <v>273</v>
      </c>
      <c r="B274" t="s">
        <v>555</v>
      </c>
      <c r="C274" t="s">
        <v>536</v>
      </c>
      <c r="D274" t="s">
        <v>556</v>
      </c>
      <c r="E274" t="s">
        <v>23</v>
      </c>
      <c r="F274" t="s">
        <v>345</v>
      </c>
      <c r="G274" t="s">
        <v>871</v>
      </c>
      <c r="H274">
        <v>992</v>
      </c>
    </row>
    <row r="275" spans="1:8" x14ac:dyDescent="0.3">
      <c r="A275">
        <v>274</v>
      </c>
      <c r="B275" t="s">
        <v>557</v>
      </c>
      <c r="C275" t="s">
        <v>536</v>
      </c>
      <c r="D275" t="s">
        <v>558</v>
      </c>
      <c r="E275" t="s">
        <v>23</v>
      </c>
      <c r="F275" t="s">
        <v>345</v>
      </c>
      <c r="G275" t="s">
        <v>872</v>
      </c>
      <c r="H275">
        <v>628</v>
      </c>
    </row>
    <row r="276" spans="1:8" x14ac:dyDescent="0.3">
      <c r="A276">
        <v>275</v>
      </c>
      <c r="B276" t="s">
        <v>559</v>
      </c>
      <c r="C276" t="s">
        <v>560</v>
      </c>
      <c r="D276" t="s">
        <v>561</v>
      </c>
      <c r="E276" t="s">
        <v>13</v>
      </c>
      <c r="F276" t="s">
        <v>345</v>
      </c>
      <c r="G276" t="s">
        <v>873</v>
      </c>
      <c r="H276">
        <v>917</v>
      </c>
    </row>
    <row r="277" spans="1:8" x14ac:dyDescent="0.3">
      <c r="A277">
        <v>276</v>
      </c>
      <c r="B277" t="s">
        <v>562</v>
      </c>
      <c r="C277" t="s">
        <v>560</v>
      </c>
      <c r="D277" t="s">
        <v>563</v>
      </c>
      <c r="E277" t="s">
        <v>13</v>
      </c>
      <c r="F277" t="s">
        <v>345</v>
      </c>
      <c r="G277" t="s">
        <v>869</v>
      </c>
      <c r="H277">
        <v>260</v>
      </c>
    </row>
    <row r="278" spans="1:8" x14ac:dyDescent="0.3">
      <c r="A278">
        <v>277</v>
      </c>
      <c r="B278" t="s">
        <v>564</v>
      </c>
      <c r="C278" t="s">
        <v>560</v>
      </c>
      <c r="D278" t="s">
        <v>565</v>
      </c>
      <c r="E278" t="s">
        <v>13</v>
      </c>
      <c r="F278" t="s">
        <v>345</v>
      </c>
      <c r="G278" t="s">
        <v>870</v>
      </c>
      <c r="H278">
        <v>323</v>
      </c>
    </row>
    <row r="279" spans="1:8" x14ac:dyDescent="0.3">
      <c r="A279">
        <v>278</v>
      </c>
      <c r="B279" t="s">
        <v>566</v>
      </c>
      <c r="C279" t="s">
        <v>560</v>
      </c>
      <c r="D279" t="s">
        <v>567</v>
      </c>
      <c r="E279" t="s">
        <v>13</v>
      </c>
      <c r="F279" t="s">
        <v>345</v>
      </c>
      <c r="G279" t="s">
        <v>871</v>
      </c>
      <c r="H279">
        <v>703</v>
      </c>
    </row>
    <row r="280" spans="1:8" x14ac:dyDescent="0.3">
      <c r="A280">
        <v>279</v>
      </c>
      <c r="B280" t="s">
        <v>568</v>
      </c>
      <c r="C280" t="s">
        <v>560</v>
      </c>
      <c r="D280" t="s">
        <v>569</v>
      </c>
      <c r="E280" t="s">
        <v>13</v>
      </c>
      <c r="F280" t="s">
        <v>345</v>
      </c>
      <c r="G280" t="s">
        <v>872</v>
      </c>
      <c r="H280">
        <v>494</v>
      </c>
    </row>
    <row r="281" spans="1:8" x14ac:dyDescent="0.3">
      <c r="A281">
        <v>280</v>
      </c>
      <c r="B281" t="s">
        <v>570</v>
      </c>
      <c r="C281" t="s">
        <v>560</v>
      </c>
      <c r="D281" t="s">
        <v>571</v>
      </c>
      <c r="E281" t="s">
        <v>13</v>
      </c>
      <c r="F281" t="s">
        <v>345</v>
      </c>
      <c r="G281" t="s">
        <v>873</v>
      </c>
      <c r="H281">
        <v>875</v>
      </c>
    </row>
    <row r="282" spans="1:8" x14ac:dyDescent="0.3">
      <c r="A282">
        <v>281</v>
      </c>
      <c r="B282" t="s">
        <v>572</v>
      </c>
      <c r="C282" t="s">
        <v>560</v>
      </c>
      <c r="D282" t="s">
        <v>573</v>
      </c>
      <c r="E282" t="s">
        <v>13</v>
      </c>
      <c r="F282" t="s">
        <v>345</v>
      </c>
      <c r="G282" t="s">
        <v>869</v>
      </c>
      <c r="H282">
        <v>866</v>
      </c>
    </row>
    <row r="283" spans="1:8" x14ac:dyDescent="0.3">
      <c r="A283">
        <v>282</v>
      </c>
      <c r="B283" t="s">
        <v>574</v>
      </c>
      <c r="C283" t="s">
        <v>560</v>
      </c>
      <c r="D283" t="s">
        <v>575</v>
      </c>
      <c r="E283" t="s">
        <v>13</v>
      </c>
      <c r="F283" t="s">
        <v>345</v>
      </c>
      <c r="G283" t="s">
        <v>870</v>
      </c>
      <c r="H283">
        <v>436</v>
      </c>
    </row>
    <row r="284" spans="1:8" x14ac:dyDescent="0.3">
      <c r="A284">
        <v>283</v>
      </c>
      <c r="B284" t="s">
        <v>576</v>
      </c>
      <c r="C284" t="s">
        <v>560</v>
      </c>
      <c r="D284" t="s">
        <v>577</v>
      </c>
      <c r="E284" t="s">
        <v>13</v>
      </c>
      <c r="F284" t="s">
        <v>345</v>
      </c>
      <c r="G284" t="s">
        <v>871</v>
      </c>
      <c r="H284">
        <v>183</v>
      </c>
    </row>
    <row r="285" spans="1:8" x14ac:dyDescent="0.3">
      <c r="A285">
        <v>284</v>
      </c>
      <c r="B285" t="s">
        <v>578</v>
      </c>
      <c r="C285" t="s">
        <v>560</v>
      </c>
      <c r="D285" t="s">
        <v>579</v>
      </c>
      <c r="E285" t="s">
        <v>13</v>
      </c>
      <c r="F285" t="s">
        <v>345</v>
      </c>
      <c r="G285" t="s">
        <v>872</v>
      </c>
      <c r="H285">
        <v>311</v>
      </c>
    </row>
    <row r="286" spans="1:8" x14ac:dyDescent="0.3">
      <c r="A286">
        <v>285</v>
      </c>
      <c r="B286" t="s">
        <v>580</v>
      </c>
      <c r="C286" t="s">
        <v>560</v>
      </c>
      <c r="D286" t="s">
        <v>581</v>
      </c>
      <c r="E286" t="s">
        <v>13</v>
      </c>
      <c r="F286" t="s">
        <v>345</v>
      </c>
      <c r="G286" t="s">
        <v>873</v>
      </c>
      <c r="H286">
        <v>621</v>
      </c>
    </row>
    <row r="287" spans="1:8" x14ac:dyDescent="0.3">
      <c r="A287">
        <v>286</v>
      </c>
      <c r="B287" t="s">
        <v>582</v>
      </c>
      <c r="C287" t="s">
        <v>560</v>
      </c>
      <c r="D287" t="s">
        <v>583</v>
      </c>
      <c r="E287" t="s">
        <v>13</v>
      </c>
      <c r="F287" t="s">
        <v>345</v>
      </c>
      <c r="G287" t="s">
        <v>869</v>
      </c>
      <c r="H287">
        <v>510</v>
      </c>
    </row>
    <row r="288" spans="1:8" x14ac:dyDescent="0.3">
      <c r="A288">
        <v>287</v>
      </c>
      <c r="B288" t="s">
        <v>584</v>
      </c>
      <c r="C288" t="s">
        <v>560</v>
      </c>
      <c r="D288" t="s">
        <v>585</v>
      </c>
      <c r="E288" t="s">
        <v>9</v>
      </c>
      <c r="F288" t="s">
        <v>345</v>
      </c>
      <c r="G288" t="s">
        <v>870</v>
      </c>
      <c r="H288">
        <v>786</v>
      </c>
    </row>
    <row r="289" spans="1:8" x14ac:dyDescent="0.3">
      <c r="A289">
        <v>288</v>
      </c>
      <c r="B289" t="s">
        <v>586</v>
      </c>
      <c r="C289" t="s">
        <v>560</v>
      </c>
      <c r="D289" t="s">
        <v>587</v>
      </c>
      <c r="E289" t="s">
        <v>13</v>
      </c>
      <c r="F289" t="s">
        <v>345</v>
      </c>
      <c r="G289" t="s">
        <v>871</v>
      </c>
      <c r="H289">
        <v>113</v>
      </c>
    </row>
    <row r="290" spans="1:8" x14ac:dyDescent="0.3">
      <c r="A290">
        <v>289</v>
      </c>
      <c r="B290" t="s">
        <v>588</v>
      </c>
      <c r="C290" t="s">
        <v>560</v>
      </c>
      <c r="D290" t="s">
        <v>589</v>
      </c>
      <c r="E290" t="s">
        <v>13</v>
      </c>
      <c r="F290" t="s">
        <v>345</v>
      </c>
      <c r="G290" t="s">
        <v>872</v>
      </c>
      <c r="H290">
        <v>802</v>
      </c>
    </row>
    <row r="291" spans="1:8" x14ac:dyDescent="0.3">
      <c r="A291">
        <v>290</v>
      </c>
      <c r="B291" t="s">
        <v>590</v>
      </c>
      <c r="C291" t="s">
        <v>560</v>
      </c>
      <c r="D291" t="s">
        <v>591</v>
      </c>
      <c r="E291" t="s">
        <v>9</v>
      </c>
      <c r="F291" t="s">
        <v>345</v>
      </c>
      <c r="G291" t="s">
        <v>873</v>
      </c>
      <c r="H291">
        <v>971</v>
      </c>
    </row>
    <row r="292" spans="1:8" x14ac:dyDescent="0.3">
      <c r="A292">
        <v>291</v>
      </c>
      <c r="B292" t="s">
        <v>592</v>
      </c>
      <c r="C292" t="s">
        <v>593</v>
      </c>
      <c r="D292" t="s">
        <v>594</v>
      </c>
      <c r="E292" t="s">
        <v>9</v>
      </c>
      <c r="F292" t="s">
        <v>345</v>
      </c>
      <c r="G292" t="s">
        <v>869</v>
      </c>
      <c r="H292">
        <v>411</v>
      </c>
    </row>
    <row r="293" spans="1:8" x14ac:dyDescent="0.3">
      <c r="A293">
        <v>292</v>
      </c>
      <c r="B293" t="s">
        <v>595</v>
      </c>
      <c r="C293" t="s">
        <v>593</v>
      </c>
      <c r="D293" t="s">
        <v>596</v>
      </c>
      <c r="E293" t="s">
        <v>9</v>
      </c>
      <c r="F293" t="s">
        <v>345</v>
      </c>
      <c r="G293" t="s">
        <v>870</v>
      </c>
      <c r="H293">
        <v>477</v>
      </c>
    </row>
    <row r="294" spans="1:8" x14ac:dyDescent="0.3">
      <c r="A294">
        <v>293</v>
      </c>
      <c r="B294" t="s">
        <v>597</v>
      </c>
      <c r="C294" t="s">
        <v>593</v>
      </c>
      <c r="D294" t="s">
        <v>598</v>
      </c>
      <c r="E294" t="s">
        <v>9</v>
      </c>
      <c r="F294" t="s">
        <v>345</v>
      </c>
      <c r="G294" t="s">
        <v>871</v>
      </c>
      <c r="H294">
        <v>377</v>
      </c>
    </row>
    <row r="295" spans="1:8" x14ac:dyDescent="0.3">
      <c r="A295">
        <v>294</v>
      </c>
      <c r="B295" t="s">
        <v>599</v>
      </c>
      <c r="C295" t="s">
        <v>593</v>
      </c>
      <c r="D295" t="s">
        <v>600</v>
      </c>
      <c r="E295" t="s">
        <v>9</v>
      </c>
      <c r="F295" t="s">
        <v>345</v>
      </c>
      <c r="G295" t="s">
        <v>872</v>
      </c>
      <c r="H295">
        <v>656</v>
      </c>
    </row>
    <row r="296" spans="1:8" x14ac:dyDescent="0.3">
      <c r="A296">
        <v>295</v>
      </c>
      <c r="B296" t="s">
        <v>601</v>
      </c>
      <c r="C296" t="s">
        <v>593</v>
      </c>
      <c r="D296" t="s">
        <v>602</v>
      </c>
      <c r="E296" t="s">
        <v>13</v>
      </c>
      <c r="F296" t="s">
        <v>345</v>
      </c>
      <c r="G296" t="s">
        <v>873</v>
      </c>
      <c r="H296">
        <v>389</v>
      </c>
    </row>
    <row r="297" spans="1:8" x14ac:dyDescent="0.3">
      <c r="A297">
        <v>296</v>
      </c>
      <c r="B297" t="s">
        <v>603</v>
      </c>
      <c r="C297" t="s">
        <v>593</v>
      </c>
      <c r="D297" t="s">
        <v>604</v>
      </c>
      <c r="E297" t="s">
        <v>13</v>
      </c>
      <c r="F297" t="s">
        <v>345</v>
      </c>
      <c r="G297" t="s">
        <v>869</v>
      </c>
      <c r="H297">
        <v>249</v>
      </c>
    </row>
    <row r="298" spans="1:8" x14ac:dyDescent="0.3">
      <c r="A298">
        <v>297</v>
      </c>
      <c r="B298" t="s">
        <v>605</v>
      </c>
      <c r="C298" t="s">
        <v>593</v>
      </c>
      <c r="D298" t="s">
        <v>606</v>
      </c>
      <c r="E298" t="s">
        <v>13</v>
      </c>
      <c r="F298" t="s">
        <v>345</v>
      </c>
      <c r="G298" t="s">
        <v>870</v>
      </c>
      <c r="H298">
        <v>178</v>
      </c>
    </row>
    <row r="299" spans="1:8" x14ac:dyDescent="0.3">
      <c r="A299">
        <v>298</v>
      </c>
      <c r="B299" t="s">
        <v>607</v>
      </c>
      <c r="C299" t="s">
        <v>608</v>
      </c>
      <c r="D299" t="s">
        <v>609</v>
      </c>
      <c r="E299" t="s">
        <v>9</v>
      </c>
      <c r="F299" t="s">
        <v>345</v>
      </c>
      <c r="G299" t="s">
        <v>871</v>
      </c>
      <c r="H299">
        <v>932</v>
      </c>
    </row>
    <row r="300" spans="1:8" x14ac:dyDescent="0.3">
      <c r="A300">
        <v>299</v>
      </c>
      <c r="B300" t="s">
        <v>610</v>
      </c>
      <c r="C300" t="s">
        <v>608</v>
      </c>
      <c r="D300" t="s">
        <v>611</v>
      </c>
      <c r="E300" t="s">
        <v>9</v>
      </c>
      <c r="F300" t="s">
        <v>345</v>
      </c>
      <c r="G300" t="s">
        <v>872</v>
      </c>
      <c r="H300">
        <v>806</v>
      </c>
    </row>
    <row r="301" spans="1:8" x14ac:dyDescent="0.3">
      <c r="A301">
        <v>300</v>
      </c>
      <c r="B301" t="s">
        <v>612</v>
      </c>
      <c r="C301" t="s">
        <v>608</v>
      </c>
      <c r="D301" t="s">
        <v>613</v>
      </c>
      <c r="E301" t="s">
        <v>9</v>
      </c>
      <c r="F301" t="s">
        <v>345</v>
      </c>
      <c r="G301" t="s">
        <v>873</v>
      </c>
      <c r="H301">
        <v>337</v>
      </c>
    </row>
    <row r="302" spans="1:8" x14ac:dyDescent="0.3">
      <c r="A302">
        <v>301</v>
      </c>
      <c r="B302" t="s">
        <v>614</v>
      </c>
      <c r="C302" t="s">
        <v>608</v>
      </c>
      <c r="D302" t="s">
        <v>615</v>
      </c>
      <c r="E302" t="s">
        <v>13</v>
      </c>
      <c r="F302" t="s">
        <v>345</v>
      </c>
      <c r="G302" t="s">
        <v>869</v>
      </c>
      <c r="H302">
        <v>484</v>
      </c>
    </row>
    <row r="303" spans="1:8" x14ac:dyDescent="0.3">
      <c r="A303">
        <v>302</v>
      </c>
      <c r="B303" t="s">
        <v>616</v>
      </c>
      <c r="C303" t="s">
        <v>608</v>
      </c>
      <c r="D303" t="s">
        <v>617</v>
      </c>
      <c r="E303" t="s">
        <v>13</v>
      </c>
      <c r="F303" t="s">
        <v>345</v>
      </c>
      <c r="G303" t="s">
        <v>870</v>
      </c>
      <c r="H303">
        <v>284</v>
      </c>
    </row>
    <row r="304" spans="1:8" x14ac:dyDescent="0.3">
      <c r="A304">
        <v>303</v>
      </c>
      <c r="B304" t="s">
        <v>618</v>
      </c>
      <c r="C304" t="s">
        <v>608</v>
      </c>
      <c r="D304" t="s">
        <v>617</v>
      </c>
      <c r="E304" t="s">
        <v>13</v>
      </c>
      <c r="F304" t="s">
        <v>345</v>
      </c>
      <c r="G304" t="s">
        <v>871</v>
      </c>
      <c r="H304">
        <v>658</v>
      </c>
    </row>
    <row r="305" spans="1:8" x14ac:dyDescent="0.3">
      <c r="A305">
        <v>304</v>
      </c>
      <c r="B305" t="s">
        <v>619</v>
      </c>
      <c r="C305" t="s">
        <v>608</v>
      </c>
      <c r="D305" t="s">
        <v>620</v>
      </c>
      <c r="E305" t="s">
        <v>13</v>
      </c>
      <c r="F305" t="s">
        <v>345</v>
      </c>
      <c r="G305" t="s">
        <v>872</v>
      </c>
      <c r="H305">
        <v>518</v>
      </c>
    </row>
    <row r="306" spans="1:8" x14ac:dyDescent="0.3">
      <c r="A306">
        <v>305</v>
      </c>
      <c r="B306" t="s">
        <v>621</v>
      </c>
      <c r="C306" t="s">
        <v>608</v>
      </c>
      <c r="D306" t="s">
        <v>622</v>
      </c>
      <c r="E306" t="s">
        <v>13</v>
      </c>
      <c r="F306" t="s">
        <v>345</v>
      </c>
      <c r="G306" t="s">
        <v>873</v>
      </c>
      <c r="H306">
        <v>617</v>
      </c>
    </row>
    <row r="307" spans="1:8" x14ac:dyDescent="0.3">
      <c r="A307">
        <v>306</v>
      </c>
      <c r="B307" t="s">
        <v>623</v>
      </c>
      <c r="C307" t="s">
        <v>608</v>
      </c>
      <c r="D307" t="s">
        <v>624</v>
      </c>
      <c r="E307" t="s">
        <v>13</v>
      </c>
      <c r="F307" t="s">
        <v>345</v>
      </c>
      <c r="G307" t="s">
        <v>869</v>
      </c>
      <c r="H307">
        <v>751</v>
      </c>
    </row>
    <row r="308" spans="1:8" x14ac:dyDescent="0.3">
      <c r="A308">
        <v>307</v>
      </c>
      <c r="B308" t="s">
        <v>625</v>
      </c>
      <c r="C308" t="s">
        <v>608</v>
      </c>
      <c r="D308" t="s">
        <v>626</v>
      </c>
      <c r="E308" t="s">
        <v>13</v>
      </c>
      <c r="F308" t="s">
        <v>345</v>
      </c>
      <c r="G308" t="s">
        <v>870</v>
      </c>
      <c r="H308">
        <v>118</v>
      </c>
    </row>
    <row r="309" spans="1:8" x14ac:dyDescent="0.3">
      <c r="A309">
        <v>308</v>
      </c>
      <c r="B309" t="s">
        <v>627</v>
      </c>
      <c r="C309" t="s">
        <v>608</v>
      </c>
      <c r="D309" t="s">
        <v>628</v>
      </c>
      <c r="E309" t="s">
        <v>9</v>
      </c>
      <c r="F309" t="s">
        <v>345</v>
      </c>
      <c r="G309" t="s">
        <v>871</v>
      </c>
      <c r="H309">
        <v>704</v>
      </c>
    </row>
    <row r="310" spans="1:8" x14ac:dyDescent="0.3">
      <c r="A310">
        <v>309</v>
      </c>
      <c r="B310" t="s">
        <v>629</v>
      </c>
      <c r="C310" t="s">
        <v>608</v>
      </c>
      <c r="D310" t="s">
        <v>630</v>
      </c>
      <c r="E310" t="s">
        <v>9</v>
      </c>
      <c r="F310" t="s">
        <v>345</v>
      </c>
      <c r="G310" t="s">
        <v>872</v>
      </c>
      <c r="H310">
        <v>532</v>
      </c>
    </row>
    <row r="311" spans="1:8" x14ac:dyDescent="0.3">
      <c r="A311">
        <v>310</v>
      </c>
      <c r="B311" t="s">
        <v>631</v>
      </c>
      <c r="C311" t="s">
        <v>608</v>
      </c>
      <c r="D311" t="s">
        <v>632</v>
      </c>
      <c r="E311" t="s">
        <v>9</v>
      </c>
      <c r="F311" t="s">
        <v>345</v>
      </c>
      <c r="G311" t="s">
        <v>873</v>
      </c>
      <c r="H311">
        <v>756</v>
      </c>
    </row>
    <row r="312" spans="1:8" x14ac:dyDescent="0.3">
      <c r="A312">
        <v>311</v>
      </c>
      <c r="B312" t="s">
        <v>633</v>
      </c>
      <c r="C312" t="s">
        <v>608</v>
      </c>
      <c r="D312" t="s">
        <v>634</v>
      </c>
      <c r="E312" t="s">
        <v>13</v>
      </c>
      <c r="F312" t="s">
        <v>345</v>
      </c>
      <c r="G312" t="s">
        <v>869</v>
      </c>
      <c r="H312">
        <v>457</v>
      </c>
    </row>
    <row r="313" spans="1:8" x14ac:dyDescent="0.3">
      <c r="A313">
        <v>312</v>
      </c>
      <c r="B313" t="s">
        <v>635</v>
      </c>
      <c r="C313" t="s">
        <v>608</v>
      </c>
      <c r="D313" t="s">
        <v>636</v>
      </c>
      <c r="E313" t="s">
        <v>13</v>
      </c>
      <c r="F313" t="s">
        <v>345</v>
      </c>
      <c r="G313" t="s">
        <v>870</v>
      </c>
      <c r="H313">
        <v>146</v>
      </c>
    </row>
    <row r="314" spans="1:8" x14ac:dyDescent="0.3">
      <c r="A314">
        <v>313</v>
      </c>
      <c r="B314" t="s">
        <v>637</v>
      </c>
      <c r="C314" t="s">
        <v>608</v>
      </c>
      <c r="D314" t="s">
        <v>638</v>
      </c>
      <c r="E314" t="s">
        <v>13</v>
      </c>
      <c r="F314" t="s">
        <v>345</v>
      </c>
      <c r="G314" t="s">
        <v>871</v>
      </c>
      <c r="H314">
        <v>352</v>
      </c>
    </row>
    <row r="315" spans="1:8" x14ac:dyDescent="0.3">
      <c r="A315">
        <v>314</v>
      </c>
      <c r="B315" t="s">
        <v>639</v>
      </c>
      <c r="C315" t="s">
        <v>608</v>
      </c>
      <c r="D315" t="s">
        <v>640</v>
      </c>
      <c r="E315" t="s">
        <v>13</v>
      </c>
      <c r="F315" t="s">
        <v>345</v>
      </c>
      <c r="G315" t="s">
        <v>872</v>
      </c>
      <c r="H315">
        <v>901</v>
      </c>
    </row>
    <row r="316" spans="1:8" x14ac:dyDescent="0.3">
      <c r="A316">
        <v>315</v>
      </c>
      <c r="B316" t="s">
        <v>641</v>
      </c>
      <c r="C316" t="s">
        <v>608</v>
      </c>
      <c r="D316" t="s">
        <v>642</v>
      </c>
      <c r="E316" t="s">
        <v>13</v>
      </c>
      <c r="F316" t="s">
        <v>345</v>
      </c>
      <c r="G316" t="s">
        <v>873</v>
      </c>
      <c r="H316">
        <v>791</v>
      </c>
    </row>
    <row r="317" spans="1:8" x14ac:dyDescent="0.3">
      <c r="A317">
        <v>316</v>
      </c>
      <c r="B317" t="s">
        <v>643</v>
      </c>
      <c r="C317" t="s">
        <v>608</v>
      </c>
      <c r="D317" t="s">
        <v>644</v>
      </c>
      <c r="E317" t="s">
        <v>9</v>
      </c>
      <c r="F317" t="s">
        <v>345</v>
      </c>
      <c r="G317" t="s">
        <v>869</v>
      </c>
      <c r="H317">
        <v>444</v>
      </c>
    </row>
    <row r="318" spans="1:8" x14ac:dyDescent="0.3">
      <c r="A318">
        <v>317</v>
      </c>
      <c r="B318" t="s">
        <v>645</v>
      </c>
      <c r="C318" t="s">
        <v>608</v>
      </c>
      <c r="D318" t="s">
        <v>644</v>
      </c>
      <c r="E318" t="s">
        <v>13</v>
      </c>
      <c r="F318" t="s">
        <v>345</v>
      </c>
      <c r="G318" t="s">
        <v>870</v>
      </c>
      <c r="H318">
        <v>917</v>
      </c>
    </row>
    <row r="319" spans="1:8" x14ac:dyDescent="0.3">
      <c r="A319">
        <v>318</v>
      </c>
      <c r="B319" t="s">
        <v>646</v>
      </c>
      <c r="C319" t="s">
        <v>608</v>
      </c>
      <c r="D319" t="s">
        <v>647</v>
      </c>
      <c r="E319" t="s">
        <v>13</v>
      </c>
      <c r="F319" t="s">
        <v>345</v>
      </c>
      <c r="G319" t="s">
        <v>871</v>
      </c>
      <c r="H319">
        <v>880</v>
      </c>
    </row>
    <row r="320" spans="1:8" x14ac:dyDescent="0.3">
      <c r="A320">
        <v>319</v>
      </c>
      <c r="B320" t="s">
        <v>648</v>
      </c>
      <c r="C320" t="s">
        <v>608</v>
      </c>
      <c r="D320" t="s">
        <v>649</v>
      </c>
      <c r="E320" t="s">
        <v>13</v>
      </c>
      <c r="F320" t="s">
        <v>345</v>
      </c>
      <c r="G320" t="s">
        <v>872</v>
      </c>
      <c r="H320">
        <v>544</v>
      </c>
    </row>
    <row r="321" spans="1:8" x14ac:dyDescent="0.3">
      <c r="A321">
        <v>320</v>
      </c>
      <c r="B321" t="s">
        <v>650</v>
      </c>
      <c r="C321" t="s">
        <v>608</v>
      </c>
      <c r="D321" t="s">
        <v>651</v>
      </c>
      <c r="E321" t="s">
        <v>9</v>
      </c>
      <c r="F321" t="s">
        <v>345</v>
      </c>
      <c r="G321" t="s">
        <v>873</v>
      </c>
      <c r="H321">
        <v>668</v>
      </c>
    </row>
    <row r="322" spans="1:8" x14ac:dyDescent="0.3">
      <c r="A322">
        <v>321</v>
      </c>
      <c r="B322" t="s">
        <v>652</v>
      </c>
      <c r="C322" t="s">
        <v>608</v>
      </c>
      <c r="D322" t="s">
        <v>653</v>
      </c>
      <c r="E322" t="s">
        <v>13</v>
      </c>
      <c r="F322" t="s">
        <v>345</v>
      </c>
      <c r="G322" t="s">
        <v>869</v>
      </c>
      <c r="H322">
        <v>547</v>
      </c>
    </row>
    <row r="323" spans="1:8" x14ac:dyDescent="0.3">
      <c r="A323">
        <v>322</v>
      </c>
      <c r="B323" t="s">
        <v>654</v>
      </c>
      <c r="C323" t="s">
        <v>608</v>
      </c>
      <c r="D323" t="s">
        <v>655</v>
      </c>
      <c r="E323" t="s">
        <v>13</v>
      </c>
      <c r="F323" t="s">
        <v>345</v>
      </c>
      <c r="G323" t="s">
        <v>870</v>
      </c>
      <c r="H323">
        <v>944</v>
      </c>
    </row>
    <row r="324" spans="1:8" x14ac:dyDescent="0.3">
      <c r="A324">
        <v>323</v>
      </c>
      <c r="B324" t="s">
        <v>656</v>
      </c>
      <c r="C324" t="s">
        <v>608</v>
      </c>
      <c r="D324" t="s">
        <v>657</v>
      </c>
      <c r="E324" t="s">
        <v>9</v>
      </c>
      <c r="F324" t="s">
        <v>345</v>
      </c>
      <c r="G324" t="s">
        <v>871</v>
      </c>
      <c r="H324">
        <v>570</v>
      </c>
    </row>
    <row r="325" spans="1:8" x14ac:dyDescent="0.3">
      <c r="A325">
        <v>324</v>
      </c>
      <c r="B325" t="s">
        <v>487</v>
      </c>
      <c r="C325" t="s">
        <v>658</v>
      </c>
      <c r="D325" t="s">
        <v>659</v>
      </c>
      <c r="E325" t="s">
        <v>23</v>
      </c>
      <c r="F325" t="s">
        <v>345</v>
      </c>
      <c r="G325" t="s">
        <v>872</v>
      </c>
      <c r="H325">
        <v>635</v>
      </c>
    </row>
    <row r="326" spans="1:8" x14ac:dyDescent="0.3">
      <c r="A326">
        <v>325</v>
      </c>
      <c r="B326" t="s">
        <v>660</v>
      </c>
      <c r="C326" t="s">
        <v>658</v>
      </c>
      <c r="D326" t="s">
        <v>661</v>
      </c>
      <c r="E326" t="s">
        <v>23</v>
      </c>
      <c r="F326" t="s">
        <v>345</v>
      </c>
      <c r="G326" t="s">
        <v>873</v>
      </c>
      <c r="H326">
        <v>397</v>
      </c>
    </row>
    <row r="327" spans="1:8" x14ac:dyDescent="0.3">
      <c r="A327">
        <v>326</v>
      </c>
      <c r="B327" t="s">
        <v>662</v>
      </c>
      <c r="C327" t="s">
        <v>658</v>
      </c>
      <c r="D327" t="s">
        <v>663</v>
      </c>
      <c r="E327" t="s">
        <v>23</v>
      </c>
      <c r="F327" t="s">
        <v>345</v>
      </c>
      <c r="G327" t="s">
        <v>869</v>
      </c>
      <c r="H327">
        <v>754</v>
      </c>
    </row>
    <row r="328" spans="1:8" x14ac:dyDescent="0.3">
      <c r="A328">
        <v>327</v>
      </c>
      <c r="B328" t="s">
        <v>664</v>
      </c>
      <c r="C328" t="s">
        <v>658</v>
      </c>
      <c r="D328" t="s">
        <v>665</v>
      </c>
      <c r="E328" t="s">
        <v>23</v>
      </c>
      <c r="F328" t="s">
        <v>345</v>
      </c>
      <c r="G328" t="s">
        <v>870</v>
      </c>
      <c r="H328">
        <v>641</v>
      </c>
    </row>
    <row r="329" spans="1:8" x14ac:dyDescent="0.3">
      <c r="A329">
        <v>328</v>
      </c>
      <c r="B329" t="s">
        <v>666</v>
      </c>
      <c r="C329" t="s">
        <v>658</v>
      </c>
      <c r="D329" t="s">
        <v>667</v>
      </c>
      <c r="E329" t="s">
        <v>23</v>
      </c>
      <c r="F329" t="s">
        <v>345</v>
      </c>
      <c r="G329" t="s">
        <v>871</v>
      </c>
      <c r="H329">
        <v>251</v>
      </c>
    </row>
    <row r="330" spans="1:8" x14ac:dyDescent="0.3">
      <c r="A330">
        <v>329</v>
      </c>
      <c r="B330" t="s">
        <v>668</v>
      </c>
      <c r="C330" t="s">
        <v>658</v>
      </c>
      <c r="D330" t="s">
        <v>669</v>
      </c>
      <c r="E330" t="s">
        <v>23</v>
      </c>
      <c r="F330" t="s">
        <v>345</v>
      </c>
      <c r="G330" t="s">
        <v>872</v>
      </c>
      <c r="H330">
        <v>527</v>
      </c>
    </row>
    <row r="331" spans="1:8" x14ac:dyDescent="0.3">
      <c r="A331">
        <v>330</v>
      </c>
      <c r="B331" t="s">
        <v>670</v>
      </c>
      <c r="C331" t="s">
        <v>658</v>
      </c>
      <c r="D331" t="s">
        <v>671</v>
      </c>
      <c r="E331" t="s">
        <v>23</v>
      </c>
      <c r="F331" t="s">
        <v>345</v>
      </c>
      <c r="G331" t="s">
        <v>873</v>
      </c>
      <c r="H331">
        <v>510</v>
      </c>
    </row>
    <row r="332" spans="1:8" x14ac:dyDescent="0.3">
      <c r="A332">
        <v>331</v>
      </c>
      <c r="B332" t="s">
        <v>672</v>
      </c>
      <c r="C332" t="s">
        <v>673</v>
      </c>
      <c r="D332" t="s">
        <v>674</v>
      </c>
      <c r="E332" t="s">
        <v>9</v>
      </c>
      <c r="F332" t="s">
        <v>345</v>
      </c>
      <c r="G332" t="s">
        <v>869</v>
      </c>
      <c r="H332">
        <v>729</v>
      </c>
    </row>
    <row r="333" spans="1:8" x14ac:dyDescent="0.3">
      <c r="A333">
        <v>332</v>
      </c>
      <c r="B333" t="s">
        <v>675</v>
      </c>
      <c r="C333" t="s">
        <v>673</v>
      </c>
      <c r="D333" t="s">
        <v>676</v>
      </c>
      <c r="E333" t="s">
        <v>9</v>
      </c>
      <c r="F333" t="s">
        <v>345</v>
      </c>
      <c r="G333" t="s">
        <v>870</v>
      </c>
      <c r="H333">
        <v>614</v>
      </c>
    </row>
    <row r="334" spans="1:8" x14ac:dyDescent="0.3">
      <c r="A334">
        <v>333</v>
      </c>
      <c r="B334" t="s">
        <v>677</v>
      </c>
      <c r="C334" t="s">
        <v>673</v>
      </c>
      <c r="D334" t="s">
        <v>678</v>
      </c>
      <c r="E334" t="s">
        <v>23</v>
      </c>
      <c r="F334" t="s">
        <v>345</v>
      </c>
      <c r="G334" t="s">
        <v>871</v>
      </c>
      <c r="H334">
        <v>529</v>
      </c>
    </row>
    <row r="335" spans="1:8" x14ac:dyDescent="0.3">
      <c r="A335">
        <v>334</v>
      </c>
      <c r="B335" t="s">
        <v>679</v>
      </c>
      <c r="C335" t="s">
        <v>673</v>
      </c>
      <c r="D335" t="s">
        <v>680</v>
      </c>
      <c r="E335" t="s">
        <v>23</v>
      </c>
      <c r="F335" t="s">
        <v>345</v>
      </c>
      <c r="G335" t="s">
        <v>872</v>
      </c>
      <c r="H335">
        <v>784</v>
      </c>
    </row>
    <row r="336" spans="1:8" x14ac:dyDescent="0.3">
      <c r="A336">
        <v>335</v>
      </c>
      <c r="B336" t="s">
        <v>681</v>
      </c>
      <c r="C336" t="s">
        <v>673</v>
      </c>
      <c r="D336" t="s">
        <v>682</v>
      </c>
      <c r="E336" t="s">
        <v>23</v>
      </c>
      <c r="F336" t="s">
        <v>345</v>
      </c>
      <c r="G336" t="s">
        <v>873</v>
      </c>
      <c r="H336">
        <v>101</v>
      </c>
    </row>
    <row r="337" spans="1:8" x14ac:dyDescent="0.3">
      <c r="A337">
        <v>336</v>
      </c>
      <c r="B337" t="s">
        <v>683</v>
      </c>
      <c r="C337" t="s">
        <v>673</v>
      </c>
      <c r="D337" t="s">
        <v>682</v>
      </c>
      <c r="E337" t="s">
        <v>23</v>
      </c>
      <c r="F337" t="s">
        <v>345</v>
      </c>
      <c r="G337" t="s">
        <v>869</v>
      </c>
      <c r="H337">
        <v>140</v>
      </c>
    </row>
    <row r="338" spans="1:8" x14ac:dyDescent="0.3">
      <c r="A338">
        <v>337</v>
      </c>
      <c r="B338" t="s">
        <v>684</v>
      </c>
      <c r="C338" t="s">
        <v>685</v>
      </c>
      <c r="D338" t="s">
        <v>686</v>
      </c>
      <c r="E338" t="s">
        <v>23</v>
      </c>
      <c r="F338" t="s">
        <v>345</v>
      </c>
      <c r="G338" t="s">
        <v>870</v>
      </c>
      <c r="H338">
        <v>615</v>
      </c>
    </row>
    <row r="339" spans="1:8" x14ac:dyDescent="0.3">
      <c r="A339">
        <v>338</v>
      </c>
      <c r="B339" t="s">
        <v>687</v>
      </c>
      <c r="C339" t="s">
        <v>685</v>
      </c>
      <c r="D339" t="s">
        <v>688</v>
      </c>
      <c r="E339" t="s">
        <v>23</v>
      </c>
      <c r="F339" t="s">
        <v>345</v>
      </c>
      <c r="G339" t="s">
        <v>871</v>
      </c>
      <c r="H339">
        <v>403</v>
      </c>
    </row>
    <row r="340" spans="1:8" x14ac:dyDescent="0.3">
      <c r="A340">
        <v>339</v>
      </c>
      <c r="B340" t="s">
        <v>689</v>
      </c>
      <c r="C340" t="s">
        <v>673</v>
      </c>
      <c r="D340" t="s">
        <v>690</v>
      </c>
      <c r="E340" t="s">
        <v>23</v>
      </c>
      <c r="F340" t="s">
        <v>345</v>
      </c>
      <c r="G340" t="s">
        <v>872</v>
      </c>
      <c r="H340">
        <v>477</v>
      </c>
    </row>
    <row r="341" spans="1:8" x14ac:dyDescent="0.3">
      <c r="A341">
        <v>340</v>
      </c>
      <c r="B341" t="s">
        <v>691</v>
      </c>
      <c r="C341" t="s">
        <v>673</v>
      </c>
      <c r="D341" t="s">
        <v>692</v>
      </c>
      <c r="E341" t="s">
        <v>23</v>
      </c>
      <c r="F341" t="s">
        <v>345</v>
      </c>
      <c r="G341" t="s">
        <v>873</v>
      </c>
      <c r="H341">
        <v>838</v>
      </c>
    </row>
    <row r="342" spans="1:8" x14ac:dyDescent="0.3">
      <c r="A342">
        <v>341</v>
      </c>
      <c r="B342" t="s">
        <v>693</v>
      </c>
      <c r="C342" t="s">
        <v>673</v>
      </c>
      <c r="D342" t="s">
        <v>80</v>
      </c>
      <c r="E342" t="s">
        <v>23</v>
      </c>
      <c r="F342" t="s">
        <v>345</v>
      </c>
      <c r="G342" t="s">
        <v>869</v>
      </c>
      <c r="H342">
        <v>263</v>
      </c>
    </row>
    <row r="343" spans="1:8" x14ac:dyDescent="0.3">
      <c r="A343">
        <v>342</v>
      </c>
      <c r="B343" t="s">
        <v>694</v>
      </c>
      <c r="C343" t="s">
        <v>673</v>
      </c>
      <c r="D343" t="s">
        <v>82</v>
      </c>
      <c r="E343" t="s">
        <v>23</v>
      </c>
      <c r="F343" t="s">
        <v>345</v>
      </c>
      <c r="G343" t="s">
        <v>870</v>
      </c>
      <c r="H343">
        <v>182</v>
      </c>
    </row>
    <row r="344" spans="1:8" x14ac:dyDescent="0.3">
      <c r="A344">
        <v>343</v>
      </c>
      <c r="B344" t="s">
        <v>557</v>
      </c>
      <c r="C344" t="s">
        <v>673</v>
      </c>
      <c r="D344" t="s">
        <v>84</v>
      </c>
      <c r="E344" t="s">
        <v>23</v>
      </c>
      <c r="F344" t="s">
        <v>345</v>
      </c>
      <c r="G344" t="s">
        <v>871</v>
      </c>
      <c r="H344">
        <v>197</v>
      </c>
    </row>
    <row r="345" spans="1:8" x14ac:dyDescent="0.3">
      <c r="A345">
        <v>344</v>
      </c>
      <c r="B345" t="s">
        <v>695</v>
      </c>
      <c r="C345" t="s">
        <v>673</v>
      </c>
      <c r="D345" t="s">
        <v>86</v>
      </c>
      <c r="E345" t="s">
        <v>23</v>
      </c>
      <c r="F345" t="s">
        <v>345</v>
      </c>
      <c r="G345" t="s">
        <v>872</v>
      </c>
      <c r="H345">
        <v>378</v>
      </c>
    </row>
    <row r="346" spans="1:8" x14ac:dyDescent="0.3">
      <c r="A346">
        <v>345</v>
      </c>
      <c r="B346" t="s">
        <v>696</v>
      </c>
      <c r="C346" t="s">
        <v>673</v>
      </c>
      <c r="D346" t="s">
        <v>318</v>
      </c>
      <c r="E346" t="s">
        <v>23</v>
      </c>
      <c r="F346" t="s">
        <v>345</v>
      </c>
      <c r="G346" t="s">
        <v>873</v>
      </c>
      <c r="H346">
        <v>172</v>
      </c>
    </row>
    <row r="347" spans="1:8" x14ac:dyDescent="0.3">
      <c r="A347">
        <v>346</v>
      </c>
      <c r="B347" t="s">
        <v>697</v>
      </c>
      <c r="C347" t="s">
        <v>698</v>
      </c>
      <c r="D347" t="s">
        <v>699</v>
      </c>
      <c r="E347" t="s">
        <v>9</v>
      </c>
      <c r="F347" t="s">
        <v>345</v>
      </c>
      <c r="G347" t="s">
        <v>869</v>
      </c>
      <c r="H347">
        <v>925</v>
      </c>
    </row>
    <row r="348" spans="1:8" x14ac:dyDescent="0.3">
      <c r="A348">
        <v>347</v>
      </c>
      <c r="B348" t="s">
        <v>700</v>
      </c>
      <c r="C348" t="s">
        <v>698</v>
      </c>
      <c r="D348" t="s">
        <v>701</v>
      </c>
      <c r="E348" t="s">
        <v>13</v>
      </c>
      <c r="F348" t="s">
        <v>345</v>
      </c>
      <c r="G348" t="s">
        <v>870</v>
      </c>
      <c r="H348">
        <v>113</v>
      </c>
    </row>
    <row r="349" spans="1:8" x14ac:dyDescent="0.3">
      <c r="A349">
        <v>348</v>
      </c>
      <c r="B349" t="s">
        <v>702</v>
      </c>
      <c r="C349" t="s">
        <v>698</v>
      </c>
      <c r="D349" t="s">
        <v>703</v>
      </c>
      <c r="E349" t="s">
        <v>13</v>
      </c>
      <c r="F349" t="s">
        <v>345</v>
      </c>
      <c r="G349" t="s">
        <v>871</v>
      </c>
      <c r="H349">
        <v>429</v>
      </c>
    </row>
    <row r="350" spans="1:8" x14ac:dyDescent="0.3">
      <c r="A350">
        <v>349</v>
      </c>
      <c r="B350" t="s">
        <v>704</v>
      </c>
      <c r="C350" t="s">
        <v>698</v>
      </c>
      <c r="D350" t="s">
        <v>705</v>
      </c>
      <c r="E350" t="s">
        <v>13</v>
      </c>
      <c r="F350" t="s">
        <v>345</v>
      </c>
      <c r="G350" t="s">
        <v>872</v>
      </c>
      <c r="H350">
        <v>415</v>
      </c>
    </row>
    <row r="351" spans="1:8" x14ac:dyDescent="0.3">
      <c r="A351">
        <v>350</v>
      </c>
      <c r="B351" t="s">
        <v>625</v>
      </c>
      <c r="C351" t="s">
        <v>698</v>
      </c>
      <c r="D351" t="s">
        <v>706</v>
      </c>
      <c r="E351" t="s">
        <v>13</v>
      </c>
      <c r="F351" t="s">
        <v>345</v>
      </c>
      <c r="G351" t="s">
        <v>873</v>
      </c>
      <c r="H351">
        <v>951</v>
      </c>
    </row>
    <row r="352" spans="1:8" x14ac:dyDescent="0.3">
      <c r="A352">
        <v>351</v>
      </c>
      <c r="B352" t="s">
        <v>707</v>
      </c>
      <c r="C352" t="s">
        <v>698</v>
      </c>
      <c r="D352" t="s">
        <v>708</v>
      </c>
      <c r="E352" t="s">
        <v>13</v>
      </c>
      <c r="F352" t="s">
        <v>345</v>
      </c>
      <c r="G352" t="s">
        <v>869</v>
      </c>
      <c r="H352">
        <v>573</v>
      </c>
    </row>
    <row r="353" spans="1:8" x14ac:dyDescent="0.3">
      <c r="A353">
        <v>352</v>
      </c>
      <c r="B353" t="s">
        <v>709</v>
      </c>
      <c r="C353" t="s">
        <v>698</v>
      </c>
      <c r="D353" t="s">
        <v>710</v>
      </c>
      <c r="E353" t="s">
        <v>13</v>
      </c>
      <c r="F353" t="s">
        <v>345</v>
      </c>
      <c r="G353" t="s">
        <v>870</v>
      </c>
      <c r="H353">
        <v>275</v>
      </c>
    </row>
    <row r="354" spans="1:8" x14ac:dyDescent="0.3">
      <c r="A354">
        <v>353</v>
      </c>
      <c r="B354" t="s">
        <v>711</v>
      </c>
      <c r="C354" t="s">
        <v>698</v>
      </c>
      <c r="D354" t="s">
        <v>712</v>
      </c>
      <c r="E354" t="s">
        <v>13</v>
      </c>
      <c r="F354" t="s">
        <v>345</v>
      </c>
      <c r="G354" t="s">
        <v>871</v>
      </c>
      <c r="H354">
        <v>658</v>
      </c>
    </row>
    <row r="355" spans="1:8" x14ac:dyDescent="0.3">
      <c r="A355">
        <v>354</v>
      </c>
      <c r="B355" t="s">
        <v>713</v>
      </c>
      <c r="C355" t="s">
        <v>698</v>
      </c>
      <c r="D355" t="s">
        <v>714</v>
      </c>
      <c r="E355" t="s">
        <v>13</v>
      </c>
      <c r="F355" t="s">
        <v>345</v>
      </c>
      <c r="G355" t="s">
        <v>872</v>
      </c>
      <c r="H355">
        <v>348</v>
      </c>
    </row>
    <row r="356" spans="1:8" x14ac:dyDescent="0.3">
      <c r="A356">
        <v>355</v>
      </c>
      <c r="B356" t="s">
        <v>715</v>
      </c>
      <c r="C356" t="s">
        <v>698</v>
      </c>
      <c r="D356" t="s">
        <v>716</v>
      </c>
      <c r="E356" t="s">
        <v>13</v>
      </c>
      <c r="F356" t="s">
        <v>345</v>
      </c>
      <c r="G356" t="s">
        <v>873</v>
      </c>
      <c r="H356">
        <v>388</v>
      </c>
    </row>
    <row r="357" spans="1:8" x14ac:dyDescent="0.3">
      <c r="A357">
        <v>356</v>
      </c>
      <c r="B357" t="s">
        <v>717</v>
      </c>
      <c r="C357" t="s">
        <v>698</v>
      </c>
      <c r="D357" t="s">
        <v>703</v>
      </c>
      <c r="E357" t="s">
        <v>13</v>
      </c>
      <c r="F357" t="s">
        <v>345</v>
      </c>
      <c r="G357" t="s">
        <v>869</v>
      </c>
      <c r="H357">
        <v>518</v>
      </c>
    </row>
    <row r="358" spans="1:8" x14ac:dyDescent="0.3">
      <c r="A358">
        <v>357</v>
      </c>
      <c r="B358" t="s">
        <v>718</v>
      </c>
      <c r="C358" t="s">
        <v>698</v>
      </c>
      <c r="D358" t="s">
        <v>719</v>
      </c>
      <c r="E358" t="s">
        <v>13</v>
      </c>
      <c r="F358" t="s">
        <v>345</v>
      </c>
      <c r="G358" t="s">
        <v>870</v>
      </c>
      <c r="H358">
        <v>283</v>
      </c>
    </row>
    <row r="359" spans="1:8" x14ac:dyDescent="0.3">
      <c r="A359">
        <v>358</v>
      </c>
      <c r="B359" t="s">
        <v>633</v>
      </c>
      <c r="C359" t="s">
        <v>698</v>
      </c>
      <c r="D359" t="s">
        <v>720</v>
      </c>
      <c r="E359" t="s">
        <v>13</v>
      </c>
      <c r="F359" t="s">
        <v>345</v>
      </c>
      <c r="G359" t="s">
        <v>871</v>
      </c>
      <c r="H359">
        <v>975</v>
      </c>
    </row>
    <row r="360" spans="1:8" x14ac:dyDescent="0.3">
      <c r="A360">
        <v>359</v>
      </c>
      <c r="B360" t="s">
        <v>721</v>
      </c>
      <c r="C360" t="s">
        <v>698</v>
      </c>
      <c r="D360" t="s">
        <v>722</v>
      </c>
      <c r="E360" t="s">
        <v>9</v>
      </c>
      <c r="F360" t="s">
        <v>345</v>
      </c>
      <c r="G360" t="s">
        <v>872</v>
      </c>
      <c r="H360">
        <v>167</v>
      </c>
    </row>
    <row r="361" spans="1:8" x14ac:dyDescent="0.3">
      <c r="A361">
        <v>360</v>
      </c>
      <c r="B361" t="s">
        <v>723</v>
      </c>
      <c r="C361" t="s">
        <v>698</v>
      </c>
      <c r="D361" t="s">
        <v>676</v>
      </c>
      <c r="E361" t="s">
        <v>9</v>
      </c>
      <c r="F361" t="s">
        <v>345</v>
      </c>
      <c r="G361" t="s">
        <v>873</v>
      </c>
      <c r="H361">
        <v>929</v>
      </c>
    </row>
    <row r="362" spans="1:8" x14ac:dyDescent="0.3">
      <c r="A362">
        <v>361</v>
      </c>
      <c r="B362" t="s">
        <v>724</v>
      </c>
      <c r="C362" t="s">
        <v>698</v>
      </c>
      <c r="D362" t="s">
        <v>725</v>
      </c>
      <c r="E362" t="s">
        <v>9</v>
      </c>
      <c r="F362" t="s">
        <v>345</v>
      </c>
      <c r="G362" t="s">
        <v>869</v>
      </c>
      <c r="H362">
        <v>851</v>
      </c>
    </row>
    <row r="363" spans="1:8" x14ac:dyDescent="0.3">
      <c r="A363">
        <v>362</v>
      </c>
      <c r="B363" t="s">
        <v>726</v>
      </c>
      <c r="C363" t="s">
        <v>698</v>
      </c>
      <c r="D363" t="s">
        <v>727</v>
      </c>
      <c r="E363" t="s">
        <v>9</v>
      </c>
      <c r="F363" t="s">
        <v>345</v>
      </c>
      <c r="G363" t="s">
        <v>870</v>
      </c>
      <c r="H363">
        <v>671</v>
      </c>
    </row>
    <row r="364" spans="1:8" x14ac:dyDescent="0.3">
      <c r="A364">
        <v>363</v>
      </c>
      <c r="B364" t="s">
        <v>728</v>
      </c>
      <c r="C364" t="s">
        <v>698</v>
      </c>
      <c r="D364" t="s">
        <v>729</v>
      </c>
      <c r="E364" t="s">
        <v>9</v>
      </c>
      <c r="F364" t="s">
        <v>345</v>
      </c>
      <c r="G364" t="s">
        <v>871</v>
      </c>
      <c r="H364">
        <v>554</v>
      </c>
    </row>
    <row r="365" spans="1:8" x14ac:dyDescent="0.3">
      <c r="A365">
        <v>364</v>
      </c>
      <c r="B365" t="s">
        <v>730</v>
      </c>
      <c r="C365" t="s">
        <v>731</v>
      </c>
      <c r="D365" t="s">
        <v>682</v>
      </c>
      <c r="E365" t="s">
        <v>23</v>
      </c>
      <c r="F365" t="s">
        <v>345</v>
      </c>
      <c r="G365" t="s">
        <v>872</v>
      </c>
      <c r="H365">
        <v>422</v>
      </c>
    </row>
    <row r="366" spans="1:8" x14ac:dyDescent="0.3">
      <c r="A366">
        <v>365</v>
      </c>
      <c r="B366" t="s">
        <v>732</v>
      </c>
      <c r="C366" t="s">
        <v>731</v>
      </c>
      <c r="D366" t="s">
        <v>680</v>
      </c>
      <c r="E366" t="s">
        <v>23</v>
      </c>
      <c r="F366" t="s">
        <v>345</v>
      </c>
      <c r="G366" t="s">
        <v>873</v>
      </c>
      <c r="H366">
        <v>433</v>
      </c>
    </row>
    <row r="367" spans="1:8" x14ac:dyDescent="0.3">
      <c r="A367">
        <v>366</v>
      </c>
      <c r="B367" t="s">
        <v>733</v>
      </c>
      <c r="C367" t="s">
        <v>731</v>
      </c>
      <c r="D367" t="s">
        <v>734</v>
      </c>
      <c r="E367" t="s">
        <v>874</v>
      </c>
      <c r="F367" t="s">
        <v>345</v>
      </c>
      <c r="G367" t="s">
        <v>869</v>
      </c>
      <c r="H367">
        <v>170</v>
      </c>
    </row>
    <row r="368" spans="1:8" x14ac:dyDescent="0.3">
      <c r="A368">
        <v>367</v>
      </c>
      <c r="B368" t="s">
        <v>735</v>
      </c>
      <c r="C368" t="s">
        <v>731</v>
      </c>
      <c r="D368" t="s">
        <v>736</v>
      </c>
      <c r="E368" t="s">
        <v>23</v>
      </c>
      <c r="F368" t="s">
        <v>345</v>
      </c>
      <c r="G368" t="s">
        <v>870</v>
      </c>
      <c r="H368">
        <v>773</v>
      </c>
    </row>
    <row r="369" spans="1:8" x14ac:dyDescent="0.3">
      <c r="A369">
        <v>368</v>
      </c>
      <c r="B369" t="s">
        <v>737</v>
      </c>
      <c r="C369" t="s">
        <v>731</v>
      </c>
      <c r="D369" t="s">
        <v>738</v>
      </c>
      <c r="E369" t="s">
        <v>23</v>
      </c>
      <c r="F369" t="s">
        <v>345</v>
      </c>
      <c r="G369" t="s">
        <v>871</v>
      </c>
      <c r="H369">
        <v>686</v>
      </c>
    </row>
    <row r="370" spans="1:8" x14ac:dyDescent="0.3">
      <c r="A370">
        <v>369</v>
      </c>
      <c r="B370" t="s">
        <v>739</v>
      </c>
      <c r="C370" t="s">
        <v>731</v>
      </c>
      <c r="D370" t="s">
        <v>740</v>
      </c>
      <c r="E370" t="s">
        <v>23</v>
      </c>
      <c r="F370" t="s">
        <v>345</v>
      </c>
      <c r="G370" t="s">
        <v>872</v>
      </c>
      <c r="H370">
        <v>636</v>
      </c>
    </row>
    <row r="371" spans="1:8" x14ac:dyDescent="0.3">
      <c r="A371">
        <v>370</v>
      </c>
      <c r="B371" t="s">
        <v>741</v>
      </c>
      <c r="C371" t="s">
        <v>731</v>
      </c>
      <c r="D371" t="s">
        <v>742</v>
      </c>
      <c r="E371" t="s">
        <v>23</v>
      </c>
      <c r="F371" t="s">
        <v>345</v>
      </c>
      <c r="G371" t="s">
        <v>873</v>
      </c>
      <c r="H371">
        <v>712</v>
      </c>
    </row>
    <row r="372" spans="1:8" x14ac:dyDescent="0.3">
      <c r="A372">
        <v>371</v>
      </c>
      <c r="B372" t="s">
        <v>743</v>
      </c>
      <c r="C372" t="s">
        <v>731</v>
      </c>
      <c r="D372" t="s">
        <v>744</v>
      </c>
      <c r="E372" t="s">
        <v>23</v>
      </c>
      <c r="F372" t="s">
        <v>345</v>
      </c>
      <c r="G372" t="s">
        <v>869</v>
      </c>
      <c r="H372">
        <v>215</v>
      </c>
    </row>
    <row r="373" spans="1:8" x14ac:dyDescent="0.3">
      <c r="A373">
        <v>372</v>
      </c>
      <c r="B373" t="s">
        <v>745</v>
      </c>
      <c r="C373" t="s">
        <v>746</v>
      </c>
      <c r="D373" t="s">
        <v>747</v>
      </c>
      <c r="E373" t="s">
        <v>23</v>
      </c>
      <c r="F373" t="s">
        <v>345</v>
      </c>
      <c r="G373" t="s">
        <v>870</v>
      </c>
      <c r="H373">
        <v>806</v>
      </c>
    </row>
    <row r="374" spans="1:8" x14ac:dyDescent="0.3">
      <c r="A374">
        <v>373</v>
      </c>
      <c r="B374" t="s">
        <v>748</v>
      </c>
      <c r="C374" t="s">
        <v>746</v>
      </c>
      <c r="D374" t="s">
        <v>749</v>
      </c>
      <c r="E374" t="s">
        <v>23</v>
      </c>
      <c r="F374" t="s">
        <v>345</v>
      </c>
      <c r="G374" t="s">
        <v>871</v>
      </c>
      <c r="H374">
        <v>165</v>
      </c>
    </row>
    <row r="375" spans="1:8" x14ac:dyDescent="0.3">
      <c r="A375">
        <v>374</v>
      </c>
      <c r="B375" t="s">
        <v>750</v>
      </c>
      <c r="C375" t="s">
        <v>751</v>
      </c>
      <c r="D375" t="s">
        <v>752</v>
      </c>
      <c r="E375" t="s">
        <v>23</v>
      </c>
      <c r="F375" t="s">
        <v>345</v>
      </c>
      <c r="G375" t="s">
        <v>872</v>
      </c>
      <c r="H375">
        <v>708</v>
      </c>
    </row>
    <row r="376" spans="1:8" x14ac:dyDescent="0.3">
      <c r="A376">
        <v>375</v>
      </c>
      <c r="B376" t="s">
        <v>753</v>
      </c>
      <c r="C376" t="s">
        <v>751</v>
      </c>
      <c r="D376" t="s">
        <v>754</v>
      </c>
      <c r="E376" t="s">
        <v>23</v>
      </c>
      <c r="F376" t="s">
        <v>345</v>
      </c>
      <c r="G376" t="s">
        <v>873</v>
      </c>
      <c r="H376">
        <v>647</v>
      </c>
    </row>
    <row r="377" spans="1:8" x14ac:dyDescent="0.3">
      <c r="A377">
        <v>376</v>
      </c>
      <c r="B377" t="s">
        <v>755</v>
      </c>
      <c r="C377" t="s">
        <v>751</v>
      </c>
      <c r="D377" t="s">
        <v>756</v>
      </c>
      <c r="E377" t="s">
        <v>23</v>
      </c>
      <c r="F377" t="s">
        <v>345</v>
      </c>
      <c r="G377" t="s">
        <v>869</v>
      </c>
      <c r="H377">
        <v>319</v>
      </c>
    </row>
    <row r="378" spans="1:8" x14ac:dyDescent="0.3">
      <c r="A378">
        <v>377</v>
      </c>
      <c r="B378" t="s">
        <v>757</v>
      </c>
      <c r="C378" t="s">
        <v>758</v>
      </c>
      <c r="D378" t="s">
        <v>759</v>
      </c>
      <c r="E378" t="s">
        <v>9</v>
      </c>
      <c r="F378" t="s">
        <v>345</v>
      </c>
      <c r="G378" t="s">
        <v>870</v>
      </c>
      <c r="H378">
        <v>177</v>
      </c>
    </row>
    <row r="379" spans="1:8" x14ac:dyDescent="0.3">
      <c r="A379">
        <v>378</v>
      </c>
      <c r="B379" t="s">
        <v>760</v>
      </c>
      <c r="C379" t="s">
        <v>758</v>
      </c>
      <c r="D379" t="s">
        <v>761</v>
      </c>
      <c r="E379" t="s">
        <v>13</v>
      </c>
      <c r="F379" t="s">
        <v>345</v>
      </c>
      <c r="G379" t="s">
        <v>871</v>
      </c>
      <c r="H379">
        <v>367</v>
      </c>
    </row>
    <row r="380" spans="1:8" x14ac:dyDescent="0.3">
      <c r="A380">
        <v>379</v>
      </c>
      <c r="B380" t="s">
        <v>762</v>
      </c>
      <c r="C380" t="s">
        <v>758</v>
      </c>
      <c r="D380" t="s">
        <v>763</v>
      </c>
      <c r="E380" t="s">
        <v>9</v>
      </c>
      <c r="F380" t="s">
        <v>345</v>
      </c>
      <c r="G380" t="s">
        <v>872</v>
      </c>
      <c r="H380">
        <v>659</v>
      </c>
    </row>
    <row r="381" spans="1:8" x14ac:dyDescent="0.3">
      <c r="A381">
        <v>380</v>
      </c>
      <c r="B381" t="s">
        <v>764</v>
      </c>
      <c r="C381" t="s">
        <v>758</v>
      </c>
      <c r="D381" t="s">
        <v>765</v>
      </c>
      <c r="E381" t="s">
        <v>13</v>
      </c>
      <c r="F381" t="s">
        <v>345</v>
      </c>
      <c r="G381" t="s">
        <v>873</v>
      </c>
      <c r="H381">
        <v>385</v>
      </c>
    </row>
    <row r="382" spans="1:8" x14ac:dyDescent="0.3">
      <c r="A382">
        <v>381</v>
      </c>
      <c r="B382" t="s">
        <v>766</v>
      </c>
      <c r="C382" t="s">
        <v>758</v>
      </c>
      <c r="D382" t="s">
        <v>767</v>
      </c>
      <c r="E382" t="s">
        <v>13</v>
      </c>
      <c r="F382" t="s">
        <v>345</v>
      </c>
      <c r="G382" t="s">
        <v>869</v>
      </c>
      <c r="H382">
        <v>158</v>
      </c>
    </row>
    <row r="383" spans="1:8" x14ac:dyDescent="0.3">
      <c r="A383">
        <v>382</v>
      </c>
      <c r="B383" t="s">
        <v>768</v>
      </c>
      <c r="C383" t="s">
        <v>758</v>
      </c>
      <c r="D383" t="s">
        <v>769</v>
      </c>
      <c r="E383" t="s">
        <v>13</v>
      </c>
      <c r="F383" t="s">
        <v>345</v>
      </c>
      <c r="G383" t="s">
        <v>870</v>
      </c>
      <c r="H383">
        <v>892</v>
      </c>
    </row>
    <row r="384" spans="1:8" x14ac:dyDescent="0.3">
      <c r="A384">
        <v>383</v>
      </c>
      <c r="B384" t="s">
        <v>770</v>
      </c>
      <c r="C384" t="s">
        <v>758</v>
      </c>
      <c r="D384" t="s">
        <v>771</v>
      </c>
      <c r="E384" t="s">
        <v>9</v>
      </c>
      <c r="F384" t="s">
        <v>345</v>
      </c>
      <c r="G384" t="s">
        <v>871</v>
      </c>
      <c r="H384">
        <v>404</v>
      </c>
    </row>
    <row r="385" spans="1:8" x14ac:dyDescent="0.3">
      <c r="A385">
        <v>384</v>
      </c>
      <c r="B385" t="s">
        <v>588</v>
      </c>
      <c r="C385" t="s">
        <v>758</v>
      </c>
      <c r="D385" t="s">
        <v>772</v>
      </c>
      <c r="E385" t="s">
        <v>13</v>
      </c>
      <c r="F385" t="s">
        <v>345</v>
      </c>
      <c r="G385" t="s">
        <v>872</v>
      </c>
      <c r="H385">
        <v>556</v>
      </c>
    </row>
    <row r="386" spans="1:8" x14ac:dyDescent="0.3">
      <c r="A386">
        <v>385</v>
      </c>
      <c r="B386" t="s">
        <v>773</v>
      </c>
      <c r="C386" t="s">
        <v>758</v>
      </c>
      <c r="D386" t="s">
        <v>774</v>
      </c>
      <c r="E386" t="s">
        <v>13</v>
      </c>
      <c r="F386" t="s">
        <v>345</v>
      </c>
      <c r="G386" t="s">
        <v>873</v>
      </c>
      <c r="H386">
        <v>472</v>
      </c>
    </row>
    <row r="387" spans="1:8" x14ac:dyDescent="0.3">
      <c r="A387">
        <v>386</v>
      </c>
      <c r="B387" t="s">
        <v>775</v>
      </c>
      <c r="C387" t="s">
        <v>758</v>
      </c>
      <c r="E387" t="s">
        <v>9</v>
      </c>
      <c r="F387" t="s">
        <v>345</v>
      </c>
      <c r="G387" t="s">
        <v>869</v>
      </c>
      <c r="H387">
        <v>530</v>
      </c>
    </row>
    <row r="388" spans="1:8" x14ac:dyDescent="0.3">
      <c r="A388">
        <v>387</v>
      </c>
      <c r="B388" t="s">
        <v>776</v>
      </c>
      <c r="C388" t="s">
        <v>758</v>
      </c>
      <c r="D388" t="s">
        <v>777</v>
      </c>
      <c r="E388" t="s">
        <v>13</v>
      </c>
      <c r="F388" t="s">
        <v>345</v>
      </c>
      <c r="G388" t="s">
        <v>870</v>
      </c>
      <c r="H388">
        <v>728</v>
      </c>
    </row>
    <row r="389" spans="1:8" x14ac:dyDescent="0.3">
      <c r="A389">
        <v>388</v>
      </c>
      <c r="B389" t="s">
        <v>778</v>
      </c>
      <c r="C389" t="s">
        <v>758</v>
      </c>
      <c r="D389" t="s">
        <v>779</v>
      </c>
      <c r="E389" t="s">
        <v>9</v>
      </c>
      <c r="F389" t="s">
        <v>345</v>
      </c>
      <c r="G389" t="s">
        <v>871</v>
      </c>
      <c r="H389">
        <v>249</v>
      </c>
    </row>
    <row r="390" spans="1:8" x14ac:dyDescent="0.3">
      <c r="A390">
        <v>389</v>
      </c>
      <c r="B390" t="s">
        <v>780</v>
      </c>
      <c r="C390" t="s">
        <v>758</v>
      </c>
      <c r="D390" t="s">
        <v>781</v>
      </c>
      <c r="E390" t="s">
        <v>13</v>
      </c>
      <c r="F390" t="s">
        <v>345</v>
      </c>
      <c r="G390" t="s">
        <v>872</v>
      </c>
      <c r="H390">
        <v>511</v>
      </c>
    </row>
    <row r="391" spans="1:8" x14ac:dyDescent="0.3">
      <c r="A391">
        <v>390</v>
      </c>
      <c r="B391" t="s">
        <v>782</v>
      </c>
      <c r="C391" t="s">
        <v>758</v>
      </c>
      <c r="D391" t="s">
        <v>783</v>
      </c>
      <c r="E391" t="s">
        <v>13</v>
      </c>
      <c r="F391" t="s">
        <v>345</v>
      </c>
      <c r="G391" t="s">
        <v>873</v>
      </c>
      <c r="H391">
        <v>492</v>
      </c>
    </row>
    <row r="392" spans="1:8" x14ac:dyDescent="0.3">
      <c r="A392">
        <v>391</v>
      </c>
      <c r="B392" t="s">
        <v>784</v>
      </c>
      <c r="C392" t="s">
        <v>758</v>
      </c>
      <c r="D392" t="s">
        <v>785</v>
      </c>
      <c r="E392" t="s">
        <v>13</v>
      </c>
      <c r="F392" t="s">
        <v>345</v>
      </c>
      <c r="G392" t="s">
        <v>869</v>
      </c>
      <c r="H392">
        <v>160</v>
      </c>
    </row>
    <row r="393" spans="1:8" x14ac:dyDescent="0.3">
      <c r="A393">
        <v>392</v>
      </c>
      <c r="B393" t="s">
        <v>786</v>
      </c>
      <c r="C393" t="s">
        <v>758</v>
      </c>
      <c r="D393" t="s">
        <v>787</v>
      </c>
      <c r="E393" t="s">
        <v>13</v>
      </c>
      <c r="F393" t="s">
        <v>345</v>
      </c>
      <c r="G393" t="s">
        <v>870</v>
      </c>
      <c r="H393">
        <v>780</v>
      </c>
    </row>
    <row r="394" spans="1:8" x14ac:dyDescent="0.3">
      <c r="A394">
        <v>393</v>
      </c>
      <c r="B394" t="s">
        <v>788</v>
      </c>
      <c r="C394" t="s">
        <v>758</v>
      </c>
      <c r="D394" t="s">
        <v>789</v>
      </c>
      <c r="E394" t="s">
        <v>13</v>
      </c>
      <c r="F394" t="s">
        <v>345</v>
      </c>
      <c r="G394" t="s">
        <v>871</v>
      </c>
      <c r="H394">
        <v>695</v>
      </c>
    </row>
    <row r="395" spans="1:8" x14ac:dyDescent="0.3">
      <c r="A395">
        <v>394</v>
      </c>
      <c r="B395" t="s">
        <v>790</v>
      </c>
      <c r="C395" t="s">
        <v>758</v>
      </c>
      <c r="D395" t="s">
        <v>791</v>
      </c>
      <c r="E395" t="s">
        <v>9</v>
      </c>
      <c r="F395" t="s">
        <v>345</v>
      </c>
      <c r="G395" t="s">
        <v>872</v>
      </c>
      <c r="H395">
        <v>853</v>
      </c>
    </row>
    <row r="396" spans="1:8" x14ac:dyDescent="0.3">
      <c r="A396">
        <v>395</v>
      </c>
      <c r="B396" t="s">
        <v>792</v>
      </c>
      <c r="C396" t="s">
        <v>758</v>
      </c>
      <c r="D396" t="s">
        <v>793</v>
      </c>
      <c r="E396" t="s">
        <v>13</v>
      </c>
      <c r="F396" t="s">
        <v>345</v>
      </c>
      <c r="G396" t="s">
        <v>873</v>
      </c>
      <c r="H396">
        <v>577</v>
      </c>
    </row>
    <row r="397" spans="1:8" x14ac:dyDescent="0.3">
      <c r="A397">
        <v>396</v>
      </c>
      <c r="B397" t="s">
        <v>794</v>
      </c>
      <c r="C397" t="s">
        <v>758</v>
      </c>
      <c r="D397" t="s">
        <v>795</v>
      </c>
      <c r="E397" t="s">
        <v>9</v>
      </c>
      <c r="F397" t="s">
        <v>345</v>
      </c>
      <c r="G397" t="s">
        <v>869</v>
      </c>
      <c r="H397">
        <v>116</v>
      </c>
    </row>
    <row r="398" spans="1:8" x14ac:dyDescent="0.3">
      <c r="A398">
        <v>397</v>
      </c>
      <c r="B398" t="s">
        <v>796</v>
      </c>
      <c r="C398" t="s">
        <v>758</v>
      </c>
      <c r="D398" t="s">
        <v>797</v>
      </c>
      <c r="E398" t="s">
        <v>9</v>
      </c>
      <c r="F398" t="s">
        <v>345</v>
      </c>
      <c r="G398" t="s">
        <v>870</v>
      </c>
      <c r="H398">
        <v>543</v>
      </c>
    </row>
    <row r="399" spans="1:8" x14ac:dyDescent="0.3">
      <c r="A399">
        <v>398</v>
      </c>
      <c r="B399" t="s">
        <v>798</v>
      </c>
      <c r="C399" t="s">
        <v>758</v>
      </c>
      <c r="D399" t="s">
        <v>799</v>
      </c>
      <c r="E399" t="s">
        <v>9</v>
      </c>
      <c r="F399" t="s">
        <v>345</v>
      </c>
      <c r="G399" t="s">
        <v>871</v>
      </c>
      <c r="H399">
        <v>912</v>
      </c>
    </row>
    <row r="400" spans="1:8" x14ac:dyDescent="0.3">
      <c r="A400">
        <v>399</v>
      </c>
      <c r="B400" t="s">
        <v>800</v>
      </c>
      <c r="C400" t="s">
        <v>758</v>
      </c>
      <c r="D400" t="s">
        <v>801</v>
      </c>
      <c r="E400" t="s">
        <v>13</v>
      </c>
      <c r="F400" t="s">
        <v>345</v>
      </c>
      <c r="G400" t="s">
        <v>872</v>
      </c>
      <c r="H400">
        <v>732</v>
      </c>
    </row>
    <row r="401" spans="1:8" x14ac:dyDescent="0.3">
      <c r="A401">
        <v>400</v>
      </c>
      <c r="B401" t="s">
        <v>802</v>
      </c>
      <c r="C401" t="s">
        <v>758</v>
      </c>
      <c r="D401" t="s">
        <v>803</v>
      </c>
      <c r="E401" t="s">
        <v>23</v>
      </c>
      <c r="F401" t="s">
        <v>345</v>
      </c>
      <c r="G401" t="s">
        <v>873</v>
      </c>
      <c r="H401">
        <v>114</v>
      </c>
    </row>
    <row r="402" spans="1:8" x14ac:dyDescent="0.3">
      <c r="A402">
        <v>401</v>
      </c>
      <c r="B402" t="s">
        <v>804</v>
      </c>
      <c r="C402" t="s">
        <v>758</v>
      </c>
      <c r="D402" t="s">
        <v>805</v>
      </c>
      <c r="E402" t="s">
        <v>23</v>
      </c>
      <c r="F402" t="s">
        <v>345</v>
      </c>
      <c r="G402" t="s">
        <v>869</v>
      </c>
      <c r="H402">
        <v>844</v>
      </c>
    </row>
    <row r="403" spans="1:8" x14ac:dyDescent="0.3">
      <c r="A403">
        <v>402</v>
      </c>
      <c r="B403" t="s">
        <v>806</v>
      </c>
      <c r="C403" t="s">
        <v>758</v>
      </c>
      <c r="D403" t="s">
        <v>692</v>
      </c>
      <c r="E403" t="s">
        <v>23</v>
      </c>
      <c r="F403" t="s">
        <v>345</v>
      </c>
      <c r="G403" t="s">
        <v>870</v>
      </c>
      <c r="H403">
        <v>692</v>
      </c>
    </row>
    <row r="404" spans="1:8" x14ac:dyDescent="0.3">
      <c r="A404">
        <v>403</v>
      </c>
      <c r="B404" t="s">
        <v>807</v>
      </c>
      <c r="C404" t="s">
        <v>808</v>
      </c>
      <c r="D404" t="s">
        <v>809</v>
      </c>
      <c r="E404" t="s">
        <v>23</v>
      </c>
      <c r="F404" t="s">
        <v>345</v>
      </c>
      <c r="G404" t="s">
        <v>871</v>
      </c>
      <c r="H404">
        <v>231</v>
      </c>
    </row>
    <row r="405" spans="1:8" x14ac:dyDescent="0.3">
      <c r="A405">
        <v>404</v>
      </c>
      <c r="B405" t="s">
        <v>810</v>
      </c>
      <c r="C405" t="s">
        <v>808</v>
      </c>
      <c r="D405" t="s">
        <v>811</v>
      </c>
      <c r="E405" t="s">
        <v>13</v>
      </c>
      <c r="F405" t="s">
        <v>345</v>
      </c>
      <c r="G405" t="s">
        <v>872</v>
      </c>
      <c r="H405">
        <v>639</v>
      </c>
    </row>
    <row r="406" spans="1:8" x14ac:dyDescent="0.3">
      <c r="A406">
        <v>405</v>
      </c>
      <c r="B406" t="s">
        <v>812</v>
      </c>
      <c r="C406" t="s">
        <v>808</v>
      </c>
      <c r="D406" t="s">
        <v>813</v>
      </c>
      <c r="E406" t="s">
        <v>13</v>
      </c>
      <c r="F406" t="s">
        <v>345</v>
      </c>
      <c r="G406" t="s">
        <v>873</v>
      </c>
      <c r="H406">
        <v>239</v>
      </c>
    </row>
    <row r="407" spans="1:8" x14ac:dyDescent="0.3">
      <c r="A407">
        <v>406</v>
      </c>
      <c r="B407" t="s">
        <v>814</v>
      </c>
      <c r="C407" t="s">
        <v>808</v>
      </c>
      <c r="D407" t="s">
        <v>815</v>
      </c>
      <c r="E407" t="s">
        <v>13</v>
      </c>
      <c r="F407" t="s">
        <v>345</v>
      </c>
      <c r="G407" t="s">
        <v>869</v>
      </c>
      <c r="H407">
        <v>554</v>
      </c>
    </row>
    <row r="408" spans="1:8" x14ac:dyDescent="0.3">
      <c r="A408">
        <v>407</v>
      </c>
      <c r="B408" t="s">
        <v>816</v>
      </c>
      <c r="C408" t="s">
        <v>808</v>
      </c>
      <c r="D408" t="s">
        <v>817</v>
      </c>
      <c r="E408" t="s">
        <v>13</v>
      </c>
      <c r="F408" t="s">
        <v>345</v>
      </c>
      <c r="G408" t="s">
        <v>870</v>
      </c>
      <c r="H408">
        <v>738</v>
      </c>
    </row>
    <row r="409" spans="1:8" x14ac:dyDescent="0.3">
      <c r="A409">
        <v>408</v>
      </c>
      <c r="B409" t="s">
        <v>818</v>
      </c>
      <c r="C409" t="s">
        <v>808</v>
      </c>
      <c r="D409" t="s">
        <v>819</v>
      </c>
      <c r="E409" t="s">
        <v>13</v>
      </c>
      <c r="F409" t="s">
        <v>345</v>
      </c>
      <c r="G409" t="s">
        <v>871</v>
      </c>
      <c r="H409">
        <v>337</v>
      </c>
    </row>
    <row r="410" spans="1:8" x14ac:dyDescent="0.3">
      <c r="A410">
        <v>409</v>
      </c>
      <c r="B410" t="s">
        <v>820</v>
      </c>
      <c r="C410" t="s">
        <v>808</v>
      </c>
      <c r="D410" t="s">
        <v>821</v>
      </c>
      <c r="E410" t="s">
        <v>23</v>
      </c>
      <c r="F410" t="s">
        <v>345</v>
      </c>
      <c r="G410" t="s">
        <v>872</v>
      </c>
      <c r="H410">
        <v>128</v>
      </c>
    </row>
    <row r="411" spans="1:8" x14ac:dyDescent="0.3">
      <c r="A411">
        <v>410</v>
      </c>
      <c r="B411" t="s">
        <v>822</v>
      </c>
      <c r="C411" t="s">
        <v>808</v>
      </c>
      <c r="E411" t="s">
        <v>9</v>
      </c>
      <c r="F411" t="s">
        <v>345</v>
      </c>
      <c r="G411" t="s">
        <v>873</v>
      </c>
      <c r="H411">
        <v>366</v>
      </c>
    </row>
    <row r="412" spans="1:8" x14ac:dyDescent="0.3">
      <c r="A412">
        <v>411</v>
      </c>
      <c r="B412" t="s">
        <v>823</v>
      </c>
      <c r="C412" t="s">
        <v>824</v>
      </c>
      <c r="D412" t="s">
        <v>825</v>
      </c>
      <c r="E412" t="s">
        <v>13</v>
      </c>
      <c r="F412" t="s">
        <v>345</v>
      </c>
      <c r="G412" t="s">
        <v>869</v>
      </c>
      <c r="H412">
        <v>267</v>
      </c>
    </row>
    <row r="413" spans="1:8" x14ac:dyDescent="0.3">
      <c r="A413">
        <v>412</v>
      </c>
      <c r="B413" t="s">
        <v>826</v>
      </c>
      <c r="C413" t="s">
        <v>824</v>
      </c>
      <c r="D413" t="s">
        <v>827</v>
      </c>
      <c r="E413" t="s">
        <v>13</v>
      </c>
      <c r="F413" t="s">
        <v>345</v>
      </c>
      <c r="G413" t="s">
        <v>870</v>
      </c>
      <c r="H413">
        <v>284</v>
      </c>
    </row>
    <row r="414" spans="1:8" x14ac:dyDescent="0.3">
      <c r="A414">
        <v>413</v>
      </c>
      <c r="B414" t="s">
        <v>828</v>
      </c>
      <c r="C414" t="s">
        <v>824</v>
      </c>
      <c r="D414" t="s">
        <v>829</v>
      </c>
      <c r="E414" t="s">
        <v>13</v>
      </c>
      <c r="F414" t="s">
        <v>345</v>
      </c>
      <c r="G414" t="s">
        <v>871</v>
      </c>
      <c r="H414">
        <v>398</v>
      </c>
    </row>
    <row r="415" spans="1:8" x14ac:dyDescent="0.3">
      <c r="A415">
        <v>414</v>
      </c>
      <c r="B415" t="s">
        <v>830</v>
      </c>
      <c r="C415" t="s">
        <v>824</v>
      </c>
      <c r="E415" t="s">
        <v>9</v>
      </c>
      <c r="F415" t="s">
        <v>345</v>
      </c>
      <c r="G415" t="s">
        <v>872</v>
      </c>
      <c r="H415">
        <v>762</v>
      </c>
    </row>
    <row r="416" spans="1:8" x14ac:dyDescent="0.3">
      <c r="A416">
        <v>415</v>
      </c>
      <c r="B416" t="s">
        <v>831</v>
      </c>
      <c r="C416" t="s">
        <v>832</v>
      </c>
      <c r="D416" t="s">
        <v>833</v>
      </c>
      <c r="E416" t="s">
        <v>13</v>
      </c>
      <c r="F416" t="s">
        <v>345</v>
      </c>
      <c r="G416" t="s">
        <v>873</v>
      </c>
      <c r="H416">
        <v>484</v>
      </c>
    </row>
    <row r="417" spans="1:8" x14ac:dyDescent="0.3">
      <c r="A417">
        <v>416</v>
      </c>
      <c r="B417" t="s">
        <v>834</v>
      </c>
      <c r="C417" t="s">
        <v>832</v>
      </c>
      <c r="D417" t="s">
        <v>835</v>
      </c>
      <c r="E417" t="s">
        <v>13</v>
      </c>
      <c r="F417" t="s">
        <v>345</v>
      </c>
      <c r="G417" t="s">
        <v>869</v>
      </c>
      <c r="H417">
        <v>733</v>
      </c>
    </row>
    <row r="418" spans="1:8" x14ac:dyDescent="0.3">
      <c r="A418">
        <v>417</v>
      </c>
      <c r="B418" t="s">
        <v>836</v>
      </c>
      <c r="C418" t="s">
        <v>832</v>
      </c>
      <c r="E418" t="s">
        <v>9</v>
      </c>
      <c r="F418" t="s">
        <v>345</v>
      </c>
      <c r="G418" t="s">
        <v>870</v>
      </c>
      <c r="H418">
        <v>484</v>
      </c>
    </row>
    <row r="419" spans="1:8" x14ac:dyDescent="0.3">
      <c r="A419">
        <v>418</v>
      </c>
      <c r="B419" t="s">
        <v>837</v>
      </c>
      <c r="C419" t="s">
        <v>838</v>
      </c>
      <c r="D419" t="s">
        <v>839</v>
      </c>
      <c r="E419" t="s">
        <v>13</v>
      </c>
      <c r="F419" t="s">
        <v>345</v>
      </c>
      <c r="G419" t="s">
        <v>871</v>
      </c>
      <c r="H419">
        <v>878</v>
      </c>
    </row>
    <row r="420" spans="1:8" x14ac:dyDescent="0.3">
      <c r="A420">
        <v>419</v>
      </c>
      <c r="B420" t="s">
        <v>840</v>
      </c>
      <c r="C420" t="s">
        <v>838</v>
      </c>
      <c r="D420" t="s">
        <v>841</v>
      </c>
      <c r="E420" t="s">
        <v>13</v>
      </c>
      <c r="F420" t="s">
        <v>345</v>
      </c>
      <c r="G420" t="s">
        <v>872</v>
      </c>
      <c r="H420">
        <v>570</v>
      </c>
    </row>
    <row r="421" spans="1:8" x14ac:dyDescent="0.3">
      <c r="A421">
        <v>420</v>
      </c>
      <c r="B421" t="s">
        <v>842</v>
      </c>
      <c r="C421" t="s">
        <v>843</v>
      </c>
      <c r="D421" t="s">
        <v>844</v>
      </c>
      <c r="E421" t="s">
        <v>13</v>
      </c>
      <c r="F421" t="s">
        <v>345</v>
      </c>
      <c r="G421" t="s">
        <v>873</v>
      </c>
      <c r="H421">
        <v>305</v>
      </c>
    </row>
    <row r="422" spans="1:8" x14ac:dyDescent="0.3">
      <c r="A422">
        <v>421</v>
      </c>
      <c r="B422" t="s">
        <v>845</v>
      </c>
      <c r="C422" t="s">
        <v>843</v>
      </c>
      <c r="D422" t="s">
        <v>846</v>
      </c>
      <c r="E422" t="s">
        <v>13</v>
      </c>
      <c r="F422" t="s">
        <v>345</v>
      </c>
      <c r="G422" t="s">
        <v>869</v>
      </c>
      <c r="H422">
        <v>460</v>
      </c>
    </row>
    <row r="423" spans="1:8" x14ac:dyDescent="0.3">
      <c r="A423">
        <v>422</v>
      </c>
      <c r="B423" t="s">
        <v>847</v>
      </c>
      <c r="C423" t="s">
        <v>843</v>
      </c>
      <c r="D423" t="s">
        <v>848</v>
      </c>
      <c r="E423" t="s">
        <v>13</v>
      </c>
      <c r="F423" t="s">
        <v>345</v>
      </c>
      <c r="G423" t="s">
        <v>870</v>
      </c>
      <c r="H423">
        <v>195</v>
      </c>
    </row>
    <row r="424" spans="1:8" x14ac:dyDescent="0.3">
      <c r="A424">
        <v>423</v>
      </c>
      <c r="B424" t="s">
        <v>849</v>
      </c>
      <c r="C424" t="s">
        <v>843</v>
      </c>
      <c r="D424" t="s">
        <v>850</v>
      </c>
      <c r="E424" t="s">
        <v>23</v>
      </c>
      <c r="F424" t="s">
        <v>345</v>
      </c>
      <c r="G424" t="s">
        <v>871</v>
      </c>
      <c r="H424">
        <v>221</v>
      </c>
    </row>
    <row r="425" spans="1:8" x14ac:dyDescent="0.3">
      <c r="A425">
        <v>424</v>
      </c>
      <c r="B425" t="s">
        <v>851</v>
      </c>
      <c r="C425" t="s">
        <v>852</v>
      </c>
      <c r="D425" t="s">
        <v>853</v>
      </c>
      <c r="E425" t="s">
        <v>13</v>
      </c>
      <c r="F425" t="s">
        <v>345</v>
      </c>
      <c r="G425" t="s">
        <v>872</v>
      </c>
      <c r="H425">
        <v>494</v>
      </c>
    </row>
    <row r="426" spans="1:8" x14ac:dyDescent="0.3">
      <c r="A426">
        <v>425</v>
      </c>
      <c r="B426" t="s">
        <v>854</v>
      </c>
      <c r="C426" t="s">
        <v>852</v>
      </c>
      <c r="D426" t="s">
        <v>853</v>
      </c>
      <c r="E426" t="s">
        <v>13</v>
      </c>
      <c r="F426" t="s">
        <v>345</v>
      </c>
      <c r="G426" t="s">
        <v>873</v>
      </c>
      <c r="H426">
        <v>751</v>
      </c>
    </row>
    <row r="427" spans="1:8" x14ac:dyDescent="0.3">
      <c r="A427">
        <v>426</v>
      </c>
      <c r="B427" t="s">
        <v>855</v>
      </c>
      <c r="C427" t="s">
        <v>852</v>
      </c>
      <c r="D427" t="s">
        <v>856</v>
      </c>
      <c r="E427" t="s">
        <v>13</v>
      </c>
      <c r="F427" t="s">
        <v>345</v>
      </c>
      <c r="G427" t="s">
        <v>869</v>
      </c>
      <c r="H427">
        <v>967</v>
      </c>
    </row>
    <row r="428" spans="1:8" x14ac:dyDescent="0.3">
      <c r="A428">
        <v>427</v>
      </c>
      <c r="B428" t="s">
        <v>857</v>
      </c>
      <c r="C428" t="s">
        <v>852</v>
      </c>
      <c r="D428" t="s">
        <v>858</v>
      </c>
      <c r="E428" t="s">
        <v>13</v>
      </c>
      <c r="F428" t="s">
        <v>345</v>
      </c>
      <c r="G428" t="s">
        <v>870</v>
      </c>
      <c r="H428">
        <v>302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6" sqref="A6"/>
    </sheetView>
  </sheetViews>
  <sheetFormatPr defaultRowHeight="14.4" x14ac:dyDescent="0.3"/>
  <cols>
    <col min="1" max="1" width="25" customWidth="1"/>
    <col min="2" max="2" width="15" customWidth="1"/>
  </cols>
  <sheetData>
    <row r="1" spans="1:2" ht="18" x14ac:dyDescent="0.35">
      <c r="A1" s="1" t="s">
        <v>859</v>
      </c>
      <c r="B1" s="1"/>
    </row>
    <row r="3" spans="1:2" x14ac:dyDescent="0.3">
      <c r="A3" t="s">
        <v>860</v>
      </c>
      <c r="B3">
        <v>427</v>
      </c>
    </row>
    <row r="5" spans="1:2" x14ac:dyDescent="0.3">
      <c r="A5" s="2" t="s">
        <v>861</v>
      </c>
      <c r="B5" s="2" t="s">
        <v>862</v>
      </c>
    </row>
    <row r="6" spans="1:2" x14ac:dyDescent="0.3">
      <c r="A6" t="s">
        <v>863</v>
      </c>
      <c r="B6">
        <v>139</v>
      </c>
    </row>
    <row r="7" spans="1:2" x14ac:dyDescent="0.3">
      <c r="A7" t="s">
        <v>864</v>
      </c>
      <c r="B7">
        <v>152</v>
      </c>
    </row>
    <row r="8" spans="1:2" x14ac:dyDescent="0.3">
      <c r="A8" t="s">
        <v>865</v>
      </c>
      <c r="B8">
        <v>117</v>
      </c>
    </row>
    <row r="9" spans="1:2" x14ac:dyDescent="0.3">
      <c r="A9" t="s">
        <v>26</v>
      </c>
      <c r="B9">
        <v>19</v>
      </c>
    </row>
    <row r="11" spans="1:2" x14ac:dyDescent="0.3">
      <c r="A11" s="2" t="s">
        <v>866</v>
      </c>
      <c r="B11" s="2" t="s">
        <v>862</v>
      </c>
    </row>
    <row r="12" spans="1:2" x14ac:dyDescent="0.3">
      <c r="A12" t="s">
        <v>867</v>
      </c>
      <c r="B12">
        <v>164</v>
      </c>
    </row>
    <row r="13" spans="1:2" x14ac:dyDescent="0.3">
      <c r="A13" t="s">
        <v>868</v>
      </c>
      <c r="B13">
        <v>263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All</vt:lpstr>
      <vt:lpstr>TR</vt:lpstr>
      <vt:lpstr>Sheet4</vt:lpstr>
      <vt:lpstr>Customer Database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Ernest Moyo</cp:lastModifiedBy>
  <dcterms:created xsi:type="dcterms:W3CDTF">2025-12-06T08:38:31Z</dcterms:created>
  <dcterms:modified xsi:type="dcterms:W3CDTF">2025-12-06T09:41:30Z</dcterms:modified>
</cp:coreProperties>
</file>